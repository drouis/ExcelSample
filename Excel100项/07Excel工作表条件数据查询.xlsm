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theme/themeOverride2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 activeTab="2"/>
  </bookViews>
  <sheets>
    <sheet name="首屏" sheetId="3" r:id="rId1"/>
    <sheet name="工作表条件查询演示" sheetId="1" r:id="rId2"/>
    <sheet name="工作表条件查询制作" sheetId="6" r:id="rId3"/>
    <sheet name="数据备用" sheetId="2" r:id="rId4"/>
    <sheet name="百家姓" sheetId="5" r:id="rId5"/>
  </sheets>
  <externalReferences>
    <externalReference r:id="rId6"/>
  </externalReferences>
  <definedNames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</definedNames>
  <calcPr calcId="144525"/>
</workbook>
</file>

<file path=xl/sharedStrings.xml><?xml version="1.0" encoding="utf-8"?>
<sst xmlns="http://schemas.openxmlformats.org/spreadsheetml/2006/main" count="776" uniqueCount="621">
  <si>
    <t>姓名</t>
  </si>
  <si>
    <t>欧锶源</t>
  </si>
  <si>
    <t>日期</t>
  </si>
  <si>
    <t>数值</t>
  </si>
  <si>
    <t>车千晖</t>
  </si>
  <si>
    <t>聂舒潇</t>
  </si>
  <si>
    <t>甄川文</t>
  </si>
  <si>
    <t>家川文</t>
  </si>
  <si>
    <t>柴镇发</t>
  </si>
  <si>
    <t>宫宣含</t>
  </si>
  <si>
    <t>叶千晖</t>
  </si>
  <si>
    <t>黎千晖</t>
  </si>
  <si>
    <t>董千雨</t>
  </si>
  <si>
    <t>巫镜香</t>
  </si>
  <si>
    <t>盛铸宏</t>
  </si>
  <si>
    <t>公宗华</t>
  </si>
  <si>
    <t>滕齐瀛</t>
  </si>
  <si>
    <t>蓬镕彪</t>
  </si>
  <si>
    <t>呼铄涛</t>
  </si>
  <si>
    <t>总价</t>
  </si>
  <si>
    <t>均值</t>
  </si>
  <si>
    <t>最小值</t>
  </si>
  <si>
    <t>最大值</t>
  </si>
  <si>
    <t>列表中第3个小值</t>
  </si>
  <si>
    <t>前10日</t>
  </si>
  <si>
    <t>中10日</t>
  </si>
  <si>
    <t>后10日</t>
  </si>
  <si>
    <t>总价值</t>
  </si>
  <si>
    <t>计算数据量</t>
  </si>
  <si>
    <t>辅助线</t>
  </si>
  <si>
    <t>高于平均值</t>
  </si>
  <si>
    <t>低于平均值</t>
  </si>
  <si>
    <t>前5名</t>
  </si>
  <si>
    <t>前10名</t>
  </si>
  <si>
    <t>后10名</t>
  </si>
  <si>
    <t>后5名</t>
  </si>
  <si>
    <t>数据总量占比</t>
  </si>
  <si>
    <t>行查询</t>
  </si>
  <si>
    <t>匹配首位查询条件，确认行坐标</t>
  </si>
  <si>
    <t>查询条件：</t>
  </si>
  <si>
    <t>列查询</t>
  </si>
  <si>
    <t>匹配次查询条件确认列坐标</t>
  </si>
  <si>
    <t>FIINISHED</t>
  </si>
  <si>
    <t>百家姓</t>
  </si>
  <si>
    <t>赵</t>
  </si>
  <si>
    <t>崇鹏</t>
  </si>
  <si>
    <t>#</t>
  </si>
  <si>
    <t>钱</t>
  </si>
  <si>
    <t>钦浩</t>
  </si>
  <si>
    <t>孙</t>
  </si>
  <si>
    <t>春霄</t>
  </si>
  <si>
    <t>李</t>
  </si>
  <si>
    <t>成汐</t>
  </si>
  <si>
    <t>周</t>
  </si>
  <si>
    <t>千雨</t>
  </si>
  <si>
    <t>吴</t>
  </si>
  <si>
    <t>煦华</t>
  </si>
  <si>
    <t>郑</t>
  </si>
  <si>
    <t>小贝</t>
  </si>
  <si>
    <t>王</t>
  </si>
  <si>
    <t>镕彪</t>
  </si>
  <si>
    <t>冯</t>
  </si>
  <si>
    <t>川文</t>
  </si>
  <si>
    <t>陈</t>
  </si>
  <si>
    <t>世白</t>
  </si>
  <si>
    <t>褚</t>
  </si>
  <si>
    <t>斯兵</t>
  </si>
  <si>
    <t>连#N/A</t>
  </si>
  <si>
    <t>卫</t>
  </si>
  <si>
    <t>宗好</t>
  </si>
  <si>
    <t>蒋</t>
  </si>
  <si>
    <t>峙熙</t>
  </si>
  <si>
    <t>沈</t>
  </si>
  <si>
    <t>峻熙</t>
  </si>
  <si>
    <t>生#N/A</t>
  </si>
  <si>
    <t>韩</t>
  </si>
  <si>
    <t>士淋</t>
  </si>
  <si>
    <t>杨</t>
  </si>
  <si>
    <t>绪亨</t>
  </si>
  <si>
    <t>关#N/A</t>
  </si>
  <si>
    <t>朱</t>
  </si>
  <si>
    <t>钟明</t>
  </si>
  <si>
    <t>秦</t>
  </si>
  <si>
    <t>镕华</t>
  </si>
  <si>
    <t>尤</t>
  </si>
  <si>
    <t>千晖</t>
  </si>
  <si>
    <t>许</t>
  </si>
  <si>
    <t>青峰</t>
  </si>
  <si>
    <t>乐#N/A</t>
  </si>
  <si>
    <t>何</t>
  </si>
  <si>
    <t>瑞淮</t>
  </si>
  <si>
    <t>西千晖</t>
  </si>
  <si>
    <t>吕</t>
  </si>
  <si>
    <t>金甫</t>
  </si>
  <si>
    <t>令州涵</t>
  </si>
  <si>
    <t>施</t>
  </si>
  <si>
    <t>镇发</t>
  </si>
  <si>
    <t>云新波</t>
  </si>
  <si>
    <t>张</t>
  </si>
  <si>
    <t>锶源</t>
  </si>
  <si>
    <t>松镕彪</t>
  </si>
  <si>
    <t>孔</t>
  </si>
  <si>
    <t>新波</t>
  </si>
  <si>
    <t>鲍#N/A</t>
  </si>
  <si>
    <t>曹</t>
  </si>
  <si>
    <t>紫雨</t>
  </si>
  <si>
    <t>谷斯兵</t>
  </si>
  <si>
    <t>严</t>
  </si>
  <si>
    <t>镜香</t>
  </si>
  <si>
    <t>盛青峰</t>
  </si>
  <si>
    <t>华</t>
  </si>
  <si>
    <t>昌滨</t>
  </si>
  <si>
    <t>詹青峰</t>
  </si>
  <si>
    <t>金</t>
  </si>
  <si>
    <t>宸清</t>
  </si>
  <si>
    <t>江心伯</t>
  </si>
  <si>
    <t>魏</t>
  </si>
  <si>
    <t>承武</t>
  </si>
  <si>
    <t>娄青峰</t>
  </si>
  <si>
    <t>陶</t>
  </si>
  <si>
    <t>诗文</t>
  </si>
  <si>
    <t>韶宗好</t>
  </si>
  <si>
    <t>姜</t>
  </si>
  <si>
    <t>铄涛</t>
  </si>
  <si>
    <t>易承武</t>
  </si>
  <si>
    <t>戚</t>
  </si>
  <si>
    <t>锌涵</t>
  </si>
  <si>
    <t>秋齐瀛</t>
  </si>
  <si>
    <t>谢</t>
  </si>
  <si>
    <t>再墨</t>
  </si>
  <si>
    <t>董宸清</t>
  </si>
  <si>
    <t>邹</t>
  </si>
  <si>
    <t>睿洋</t>
  </si>
  <si>
    <t>石崇鹏</t>
  </si>
  <si>
    <t>喻</t>
  </si>
  <si>
    <t>戈清</t>
  </si>
  <si>
    <t>红青峰</t>
  </si>
  <si>
    <t>柏</t>
  </si>
  <si>
    <t>舒潇</t>
  </si>
  <si>
    <t>蓬峻熙</t>
  </si>
  <si>
    <t>水</t>
  </si>
  <si>
    <t>成颍</t>
  </si>
  <si>
    <t>窦</t>
  </si>
  <si>
    <t>铸宏</t>
  </si>
  <si>
    <t>章</t>
  </si>
  <si>
    <t>宗华</t>
  </si>
  <si>
    <t>云</t>
  </si>
  <si>
    <t>柔汐</t>
  </si>
  <si>
    <t>苏</t>
  </si>
  <si>
    <t>宣含</t>
  </si>
  <si>
    <t>鬱紫雨</t>
  </si>
  <si>
    <t>潘</t>
  </si>
  <si>
    <t>齐瀛</t>
  </si>
  <si>
    <t>叔州涵</t>
  </si>
  <si>
    <t>葛</t>
  </si>
  <si>
    <t>睿厚</t>
  </si>
  <si>
    <t>奚</t>
  </si>
  <si>
    <t>心伯</t>
  </si>
  <si>
    <t>范</t>
  </si>
  <si>
    <t>州涵</t>
  </si>
  <si>
    <t>彭</t>
  </si>
  <si>
    <t>锐晖</t>
  </si>
  <si>
    <t>郎</t>
  </si>
  <si>
    <t>俞甫</t>
  </si>
  <si>
    <t>鲁</t>
  </si>
  <si>
    <t>承行</t>
  </si>
  <si>
    <t>韦</t>
  </si>
  <si>
    <t>钱涵</t>
  </si>
  <si>
    <t>昌</t>
  </si>
  <si>
    <t>诗洋</t>
  </si>
  <si>
    <t>马</t>
  </si>
  <si>
    <t>剑淇</t>
  </si>
  <si>
    <t>苗</t>
  </si>
  <si>
    <t>仁点</t>
  </si>
  <si>
    <t>凤</t>
  </si>
  <si>
    <t>书翡</t>
  </si>
  <si>
    <t>花</t>
  </si>
  <si>
    <t>鉴航</t>
  </si>
  <si>
    <t>方</t>
  </si>
  <si>
    <t>俞</t>
  </si>
  <si>
    <t>任</t>
  </si>
  <si>
    <t>袁</t>
  </si>
  <si>
    <t>柳</t>
  </si>
  <si>
    <t>酆</t>
  </si>
  <si>
    <t>鲍</t>
  </si>
  <si>
    <t>史</t>
  </si>
  <si>
    <t>唐</t>
  </si>
  <si>
    <t>费</t>
  </si>
  <si>
    <t>廉</t>
  </si>
  <si>
    <t>岑</t>
  </si>
  <si>
    <t>薛</t>
  </si>
  <si>
    <t>雷</t>
  </si>
  <si>
    <t>贺</t>
  </si>
  <si>
    <t>倪</t>
  </si>
  <si>
    <t>汤</t>
  </si>
  <si>
    <t>滕</t>
  </si>
  <si>
    <t>殷</t>
  </si>
  <si>
    <t>罗</t>
  </si>
  <si>
    <t>毕</t>
  </si>
  <si>
    <t>郝</t>
  </si>
  <si>
    <t>邬</t>
  </si>
  <si>
    <t>安</t>
  </si>
  <si>
    <t>常</t>
  </si>
  <si>
    <t>乐</t>
  </si>
  <si>
    <t>于</t>
  </si>
  <si>
    <t>时</t>
  </si>
  <si>
    <t>傅</t>
  </si>
  <si>
    <t>皮</t>
  </si>
  <si>
    <t>卞</t>
  </si>
  <si>
    <t>齐</t>
  </si>
  <si>
    <t>康</t>
  </si>
  <si>
    <t>伍</t>
  </si>
  <si>
    <t>余</t>
  </si>
  <si>
    <t>元</t>
  </si>
  <si>
    <t>卜</t>
  </si>
  <si>
    <t>顾</t>
  </si>
  <si>
    <t>孟</t>
  </si>
  <si>
    <t>平</t>
  </si>
  <si>
    <t>黄</t>
  </si>
  <si>
    <t>和</t>
  </si>
  <si>
    <t>穆</t>
  </si>
  <si>
    <t>萧</t>
  </si>
  <si>
    <t>尹</t>
  </si>
  <si>
    <t>姚</t>
  </si>
  <si>
    <t>邵</t>
  </si>
  <si>
    <t>湛</t>
  </si>
  <si>
    <t>汪</t>
  </si>
  <si>
    <t>祁</t>
  </si>
  <si>
    <t>毛</t>
  </si>
  <si>
    <t>禹</t>
  </si>
  <si>
    <t>狄</t>
  </si>
  <si>
    <t>米</t>
  </si>
  <si>
    <t>贝</t>
  </si>
  <si>
    <t>明</t>
  </si>
  <si>
    <t>臧</t>
  </si>
  <si>
    <t>计</t>
  </si>
  <si>
    <t>伏</t>
  </si>
  <si>
    <t>成</t>
  </si>
  <si>
    <t>戴</t>
  </si>
  <si>
    <t>谈</t>
  </si>
  <si>
    <t>宋</t>
  </si>
  <si>
    <t>茅</t>
  </si>
  <si>
    <t>庞</t>
  </si>
  <si>
    <t>熊</t>
  </si>
  <si>
    <t>纪</t>
  </si>
  <si>
    <t>舒</t>
  </si>
  <si>
    <t>屈</t>
  </si>
  <si>
    <t>项</t>
  </si>
  <si>
    <t>祝</t>
  </si>
  <si>
    <t>董</t>
  </si>
  <si>
    <t>梁</t>
  </si>
  <si>
    <t>杜</t>
  </si>
  <si>
    <t>阮</t>
  </si>
  <si>
    <t>蓝</t>
  </si>
  <si>
    <t>闵</t>
  </si>
  <si>
    <t>席</t>
  </si>
  <si>
    <t>季</t>
  </si>
  <si>
    <t>麻</t>
  </si>
  <si>
    <t>强</t>
  </si>
  <si>
    <t>贾</t>
  </si>
  <si>
    <t>路</t>
  </si>
  <si>
    <t>娄</t>
  </si>
  <si>
    <t>危</t>
  </si>
  <si>
    <t>江</t>
  </si>
  <si>
    <t>童</t>
  </si>
  <si>
    <t>颜</t>
  </si>
  <si>
    <t>郭</t>
  </si>
  <si>
    <t>梅</t>
  </si>
  <si>
    <t>盛</t>
  </si>
  <si>
    <t>林</t>
  </si>
  <si>
    <t>刁</t>
  </si>
  <si>
    <t>钟</t>
  </si>
  <si>
    <t>徐</t>
  </si>
  <si>
    <t>邱</t>
  </si>
  <si>
    <t>骆</t>
  </si>
  <si>
    <t>高</t>
  </si>
  <si>
    <t>夏</t>
  </si>
  <si>
    <t>蔡</t>
  </si>
  <si>
    <t>田</t>
  </si>
  <si>
    <t>樊</t>
  </si>
  <si>
    <t>胡</t>
  </si>
  <si>
    <t>凌</t>
  </si>
  <si>
    <t>霍</t>
  </si>
  <si>
    <t>虞</t>
  </si>
  <si>
    <t>万</t>
  </si>
  <si>
    <t>支</t>
  </si>
  <si>
    <t>柯</t>
  </si>
  <si>
    <t>昝</t>
  </si>
  <si>
    <t>管</t>
  </si>
  <si>
    <t>卢</t>
  </si>
  <si>
    <t>莫</t>
  </si>
  <si>
    <t>经</t>
  </si>
  <si>
    <t>房</t>
  </si>
  <si>
    <t>裘</t>
  </si>
  <si>
    <t>缪</t>
  </si>
  <si>
    <t>干</t>
  </si>
  <si>
    <t>解</t>
  </si>
  <si>
    <t>应</t>
  </si>
  <si>
    <t>宗</t>
  </si>
  <si>
    <t>丁</t>
  </si>
  <si>
    <t>宣</t>
  </si>
  <si>
    <t>贲</t>
  </si>
  <si>
    <t>邓</t>
  </si>
  <si>
    <t>郁</t>
  </si>
  <si>
    <t>单</t>
  </si>
  <si>
    <t>杭</t>
  </si>
  <si>
    <t>洪</t>
  </si>
  <si>
    <t>包</t>
  </si>
  <si>
    <t>诸</t>
  </si>
  <si>
    <t>左</t>
  </si>
  <si>
    <t>石</t>
  </si>
  <si>
    <t>崔</t>
  </si>
  <si>
    <t>吉</t>
  </si>
  <si>
    <t>钮</t>
  </si>
  <si>
    <t>龚</t>
  </si>
  <si>
    <t>程</t>
  </si>
  <si>
    <t>嵇</t>
  </si>
  <si>
    <t>邢</t>
  </si>
  <si>
    <t>滑</t>
  </si>
  <si>
    <t>裴</t>
  </si>
  <si>
    <t>陆</t>
  </si>
  <si>
    <t>荣</t>
  </si>
  <si>
    <t>翁</t>
  </si>
  <si>
    <t>荀</t>
  </si>
  <si>
    <t>羊</t>
  </si>
  <si>
    <t>於</t>
  </si>
  <si>
    <t>惠</t>
  </si>
  <si>
    <t>甄</t>
  </si>
  <si>
    <t>曲</t>
  </si>
  <si>
    <t>家</t>
  </si>
  <si>
    <t>封</t>
  </si>
  <si>
    <t>芮</t>
  </si>
  <si>
    <t>羿</t>
  </si>
  <si>
    <t>储</t>
  </si>
  <si>
    <t>靳</t>
  </si>
  <si>
    <t>汲</t>
  </si>
  <si>
    <t>邴</t>
  </si>
  <si>
    <t>糜</t>
  </si>
  <si>
    <t>松</t>
  </si>
  <si>
    <t>井</t>
  </si>
  <si>
    <t>段</t>
  </si>
  <si>
    <t>富</t>
  </si>
  <si>
    <t>巫</t>
  </si>
  <si>
    <t>乌</t>
  </si>
  <si>
    <t>焦</t>
  </si>
  <si>
    <t>巴</t>
  </si>
  <si>
    <t>弓</t>
  </si>
  <si>
    <t>牧</t>
  </si>
  <si>
    <t>隗</t>
  </si>
  <si>
    <t>山</t>
  </si>
  <si>
    <t>谷</t>
  </si>
  <si>
    <t>车</t>
  </si>
  <si>
    <t>侯</t>
  </si>
  <si>
    <t>宓</t>
  </si>
  <si>
    <t>蓬</t>
  </si>
  <si>
    <t>全</t>
  </si>
  <si>
    <t>郗</t>
  </si>
  <si>
    <t>班</t>
  </si>
  <si>
    <t>仰</t>
  </si>
  <si>
    <t>秋</t>
  </si>
  <si>
    <t>仲</t>
  </si>
  <si>
    <t>伊</t>
  </si>
  <si>
    <t>宫</t>
  </si>
  <si>
    <t>宁</t>
  </si>
  <si>
    <t>仇</t>
  </si>
  <si>
    <t>栾</t>
  </si>
  <si>
    <t>暴</t>
  </si>
  <si>
    <t>甘</t>
  </si>
  <si>
    <t>钭</t>
  </si>
  <si>
    <t>厉</t>
  </si>
  <si>
    <t>戎</t>
  </si>
  <si>
    <t>祖</t>
  </si>
  <si>
    <t>武</t>
  </si>
  <si>
    <t>符</t>
  </si>
  <si>
    <t>刘</t>
  </si>
  <si>
    <t>景</t>
  </si>
  <si>
    <t>詹</t>
  </si>
  <si>
    <t>束</t>
  </si>
  <si>
    <t>龙</t>
  </si>
  <si>
    <t>叶</t>
  </si>
  <si>
    <t>幸</t>
  </si>
  <si>
    <t>司</t>
  </si>
  <si>
    <t>韶</t>
  </si>
  <si>
    <t>郜</t>
  </si>
  <si>
    <t>黎</t>
  </si>
  <si>
    <t>蓟</t>
  </si>
  <si>
    <t>薄</t>
  </si>
  <si>
    <t>印</t>
  </si>
  <si>
    <t>宿</t>
  </si>
  <si>
    <t>白</t>
  </si>
  <si>
    <t>怀</t>
  </si>
  <si>
    <t>蒲</t>
  </si>
  <si>
    <t>邰</t>
  </si>
  <si>
    <t>从</t>
  </si>
  <si>
    <t>鄂</t>
  </si>
  <si>
    <t>索</t>
  </si>
  <si>
    <t>咸</t>
  </si>
  <si>
    <t>籍</t>
  </si>
  <si>
    <t>赖</t>
  </si>
  <si>
    <t>卓</t>
  </si>
  <si>
    <t>蔺</t>
  </si>
  <si>
    <t>屠</t>
  </si>
  <si>
    <t>蒙</t>
  </si>
  <si>
    <t>池</t>
  </si>
  <si>
    <t>乔</t>
  </si>
  <si>
    <t>阴</t>
  </si>
  <si>
    <t>鬱</t>
  </si>
  <si>
    <t>胥</t>
  </si>
  <si>
    <t>能</t>
  </si>
  <si>
    <t>苍</t>
  </si>
  <si>
    <t>双</t>
  </si>
  <si>
    <t>闻</t>
  </si>
  <si>
    <t>莘</t>
  </si>
  <si>
    <t>党</t>
  </si>
  <si>
    <t>翟</t>
  </si>
  <si>
    <t>谭</t>
  </si>
  <si>
    <t>贡</t>
  </si>
  <si>
    <t>劳</t>
  </si>
  <si>
    <t>逄</t>
  </si>
  <si>
    <t>姬</t>
  </si>
  <si>
    <t>申</t>
  </si>
  <si>
    <t>扶</t>
  </si>
  <si>
    <t>堵</t>
  </si>
  <si>
    <t>冉</t>
  </si>
  <si>
    <t>宰</t>
  </si>
  <si>
    <t>郦</t>
  </si>
  <si>
    <t>雍</t>
  </si>
  <si>
    <t>卻</t>
  </si>
  <si>
    <t>璩</t>
  </si>
  <si>
    <t>桑</t>
  </si>
  <si>
    <t>桂</t>
  </si>
  <si>
    <t>濮</t>
  </si>
  <si>
    <t>牛</t>
  </si>
  <si>
    <t>寿</t>
  </si>
  <si>
    <t>通</t>
  </si>
  <si>
    <t>边</t>
  </si>
  <si>
    <t>扈</t>
  </si>
  <si>
    <t>燕</t>
  </si>
  <si>
    <t>冀</t>
  </si>
  <si>
    <t>郏</t>
  </si>
  <si>
    <t>浦</t>
  </si>
  <si>
    <t>尚</t>
  </si>
  <si>
    <t>农</t>
  </si>
  <si>
    <t>温</t>
  </si>
  <si>
    <t>别</t>
  </si>
  <si>
    <t>庄</t>
  </si>
  <si>
    <t>晏</t>
  </si>
  <si>
    <t>柴</t>
  </si>
  <si>
    <t>瞿</t>
  </si>
  <si>
    <t>阎</t>
  </si>
  <si>
    <t>充</t>
  </si>
  <si>
    <t>慕</t>
  </si>
  <si>
    <t>连</t>
  </si>
  <si>
    <t>茹</t>
  </si>
  <si>
    <t>习</t>
  </si>
  <si>
    <t>宦</t>
  </si>
  <si>
    <t>艾</t>
  </si>
  <si>
    <t>鱼</t>
  </si>
  <si>
    <t>容</t>
  </si>
  <si>
    <t>向</t>
  </si>
  <si>
    <t>古</t>
  </si>
  <si>
    <t>易</t>
  </si>
  <si>
    <t>慎</t>
  </si>
  <si>
    <t>戈</t>
  </si>
  <si>
    <t>廖</t>
  </si>
  <si>
    <t>庾</t>
  </si>
  <si>
    <t>终</t>
  </si>
  <si>
    <t>暨</t>
  </si>
  <si>
    <t>居</t>
  </si>
  <si>
    <t>衡</t>
  </si>
  <si>
    <t>步</t>
  </si>
  <si>
    <t>都</t>
  </si>
  <si>
    <t>耿</t>
  </si>
  <si>
    <t>满</t>
  </si>
  <si>
    <t>弘</t>
  </si>
  <si>
    <t>匡</t>
  </si>
  <si>
    <t>国</t>
  </si>
  <si>
    <t>文</t>
  </si>
  <si>
    <t>寇</t>
  </si>
  <si>
    <t>广</t>
  </si>
  <si>
    <t>禄</t>
  </si>
  <si>
    <t>阙</t>
  </si>
  <si>
    <t>东</t>
  </si>
  <si>
    <t>欧</t>
  </si>
  <si>
    <t>殳</t>
  </si>
  <si>
    <t>沃</t>
  </si>
  <si>
    <t>利</t>
  </si>
  <si>
    <t>蔚</t>
  </si>
  <si>
    <t>越</t>
  </si>
  <si>
    <t>夔</t>
  </si>
  <si>
    <t>隆</t>
  </si>
  <si>
    <t>师</t>
  </si>
  <si>
    <t>巩</t>
  </si>
  <si>
    <t>厍</t>
  </si>
  <si>
    <t>聂</t>
  </si>
  <si>
    <t>晁</t>
  </si>
  <si>
    <t>勾</t>
  </si>
  <si>
    <t>敖</t>
  </si>
  <si>
    <t>融</t>
  </si>
  <si>
    <t>冷</t>
  </si>
  <si>
    <t>訾</t>
  </si>
  <si>
    <t>辛</t>
  </si>
  <si>
    <t>阚</t>
  </si>
  <si>
    <t>那</t>
  </si>
  <si>
    <t>简</t>
  </si>
  <si>
    <t>饶</t>
  </si>
  <si>
    <t>空</t>
  </si>
  <si>
    <t>曾</t>
  </si>
  <si>
    <t>毋</t>
  </si>
  <si>
    <t>沙</t>
  </si>
  <si>
    <t>乜</t>
  </si>
  <si>
    <t>养</t>
  </si>
  <si>
    <t>鞠</t>
  </si>
  <si>
    <t>须</t>
  </si>
  <si>
    <t>丰</t>
  </si>
  <si>
    <t>巢</t>
  </si>
  <si>
    <t>关</t>
  </si>
  <si>
    <t>蒯</t>
  </si>
  <si>
    <t>相</t>
  </si>
  <si>
    <t>查</t>
  </si>
  <si>
    <t>后</t>
  </si>
  <si>
    <t>荆</t>
  </si>
  <si>
    <t>红</t>
  </si>
  <si>
    <t>游</t>
  </si>
  <si>
    <t>竺</t>
  </si>
  <si>
    <t>权</t>
  </si>
  <si>
    <t>逯</t>
  </si>
  <si>
    <t>盖</t>
  </si>
  <si>
    <t>益</t>
  </si>
  <si>
    <t>桓</t>
  </si>
  <si>
    <t>公</t>
  </si>
  <si>
    <t>俟</t>
  </si>
  <si>
    <t>上</t>
  </si>
  <si>
    <t>官</t>
  </si>
  <si>
    <t>阳</t>
  </si>
  <si>
    <t>人</t>
  </si>
  <si>
    <t>赫</t>
  </si>
  <si>
    <t>皇</t>
  </si>
  <si>
    <t>甫</t>
  </si>
  <si>
    <t>尉</t>
  </si>
  <si>
    <t>迟</t>
  </si>
  <si>
    <t>澹</t>
  </si>
  <si>
    <t>台</t>
  </si>
  <si>
    <t>冶</t>
  </si>
  <si>
    <t>政</t>
  </si>
  <si>
    <t>淳</t>
  </si>
  <si>
    <t>太</t>
  </si>
  <si>
    <t>叔</t>
  </si>
  <si>
    <t>轩</t>
  </si>
  <si>
    <t>辕</t>
  </si>
  <si>
    <t>令</t>
  </si>
  <si>
    <t>狐</t>
  </si>
  <si>
    <t>离</t>
  </si>
  <si>
    <t>宇</t>
  </si>
  <si>
    <t>长</t>
  </si>
  <si>
    <t>鲜</t>
  </si>
  <si>
    <t>闾</t>
  </si>
  <si>
    <t>丘</t>
  </si>
  <si>
    <t>徒</t>
  </si>
  <si>
    <t>丌</t>
  </si>
  <si>
    <t>仉</t>
  </si>
  <si>
    <t>督</t>
  </si>
  <si>
    <t>子</t>
  </si>
  <si>
    <t>颛</t>
  </si>
  <si>
    <t>端</t>
  </si>
  <si>
    <t>木</t>
  </si>
  <si>
    <t>西</t>
  </si>
  <si>
    <t>漆</t>
  </si>
  <si>
    <t>雕</t>
  </si>
  <si>
    <t>正</t>
  </si>
  <si>
    <t>壤</t>
  </si>
  <si>
    <t>驷</t>
  </si>
  <si>
    <t>良</t>
  </si>
  <si>
    <t>拓</t>
  </si>
  <si>
    <t>跋</t>
  </si>
  <si>
    <t>夹</t>
  </si>
  <si>
    <t>父</t>
  </si>
  <si>
    <t>晋</t>
  </si>
  <si>
    <t>楚</t>
  </si>
  <si>
    <t>闫</t>
  </si>
  <si>
    <t>法</t>
  </si>
  <si>
    <t>汝</t>
  </si>
  <si>
    <t>鄢</t>
  </si>
  <si>
    <t>涂</t>
  </si>
  <si>
    <t>钦</t>
  </si>
  <si>
    <t>百</t>
  </si>
  <si>
    <t>里</t>
  </si>
  <si>
    <t>南</t>
  </si>
  <si>
    <t>门</t>
  </si>
  <si>
    <t>呼</t>
  </si>
  <si>
    <t>延</t>
  </si>
  <si>
    <t>归</t>
  </si>
  <si>
    <t>海</t>
  </si>
  <si>
    <t>舌</t>
  </si>
  <si>
    <t>微</t>
  </si>
  <si>
    <t>生</t>
  </si>
  <si>
    <t>岳</t>
  </si>
  <si>
    <t>帅</t>
  </si>
  <si>
    <t>缑</t>
  </si>
  <si>
    <t>亢</t>
  </si>
  <si>
    <t>况</t>
  </si>
  <si>
    <t>郈</t>
  </si>
  <si>
    <t>有</t>
  </si>
  <si>
    <t>琴</t>
  </si>
  <si>
    <t>商</t>
  </si>
  <si>
    <t>牟</t>
  </si>
  <si>
    <t>佘</t>
  </si>
  <si>
    <t>佴</t>
  </si>
  <si>
    <t>伯</t>
  </si>
  <si>
    <t>赏</t>
  </si>
  <si>
    <t>墨</t>
  </si>
  <si>
    <t>哈</t>
  </si>
  <si>
    <t>谯</t>
  </si>
  <si>
    <t>笪</t>
  </si>
  <si>
    <t>年</t>
  </si>
  <si>
    <t>爱</t>
  </si>
  <si>
    <t>佟</t>
  </si>
  <si>
    <t>第</t>
  </si>
  <si>
    <t>五</t>
  </si>
  <si>
    <t>言</t>
  </si>
  <si>
    <t>福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</si>
</sst>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&quot;月&quot;d&quot;日&quot;;@"/>
  </numFmts>
  <fonts count="25">
    <font>
      <sz val="11"/>
      <color theme="1"/>
      <name val="宋体"/>
      <charset val="134"/>
      <scheme val="minor"/>
    </font>
    <font>
      <sz val="10.45"/>
      <color rgb="FF333333"/>
      <name val="Microsoft YaHei"/>
      <charset val="134"/>
    </font>
    <font>
      <sz val="11"/>
      <color rgb="FFFF0000"/>
      <name val="宋体"/>
      <charset val="134"/>
      <scheme val="minor"/>
    </font>
    <font>
      <sz val="15"/>
      <color theme="1"/>
      <name val="宋体"/>
      <charset val="134"/>
      <scheme val="minor"/>
    </font>
    <font>
      <b/>
      <sz val="13"/>
      <color theme="1"/>
      <name val="宋体"/>
      <charset val="134"/>
      <scheme val="minor"/>
    </font>
    <font>
      <b/>
      <sz val="15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3" fillId="28" borderId="2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9" borderId="20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8" fillId="0" borderId="22" applyNumberFormat="0" applyFill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11" borderId="16" applyNumberFormat="0" applyAlignment="0" applyProtection="0">
      <alignment vertical="center"/>
    </xf>
    <xf numFmtId="0" fontId="24" fillId="11" borderId="23" applyNumberFormat="0" applyAlignment="0" applyProtection="0">
      <alignment vertical="center"/>
    </xf>
    <xf numFmtId="0" fontId="17" fillId="24" borderId="21" applyNumberForma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5" fillId="0" borderId="19" applyNumberFormat="0" applyFill="0" applyAlignment="0" applyProtection="0">
      <alignment vertical="center"/>
    </xf>
    <xf numFmtId="0" fontId="14" fillId="0" borderId="18" applyNumberFormat="0" applyFill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4" borderId="3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4" xfId="0" applyFill="1" applyBorder="1">
      <alignment vertical="center"/>
    </xf>
    <xf numFmtId="0" fontId="0" fillId="5" borderId="3" xfId="0" applyFill="1" applyBorder="1">
      <alignment vertical="center"/>
    </xf>
    <xf numFmtId="176" fontId="0" fillId="6" borderId="3" xfId="0" applyNumberFormat="1" applyFill="1" applyBorder="1">
      <alignment vertical="center"/>
    </xf>
    <xf numFmtId="0" fontId="0" fillId="4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9" fontId="0" fillId="2" borderId="7" xfId="0" applyNumberFormat="1" applyFill="1" applyBorder="1">
      <alignment vertical="center"/>
    </xf>
    <xf numFmtId="9" fontId="0" fillId="2" borderId="8" xfId="0" applyNumberFormat="1" applyFill="1" applyBorder="1">
      <alignment vertical="center"/>
    </xf>
    <xf numFmtId="9" fontId="0" fillId="2" borderId="0" xfId="0" applyNumberFormat="1" applyFill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4" fillId="2" borderId="0" xfId="0" applyFont="1" applyFill="1">
      <alignment vertical="center"/>
    </xf>
    <xf numFmtId="0" fontId="3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0" fillId="2" borderId="12" xfId="0" applyFill="1" applyBorder="1">
      <alignment vertical="center"/>
    </xf>
    <xf numFmtId="0" fontId="0" fillId="2" borderId="9" xfId="0" applyFont="1" applyFill="1" applyBorder="1">
      <alignment vertical="center"/>
    </xf>
    <xf numFmtId="0" fontId="0" fillId="2" borderId="10" xfId="0" applyFont="1" applyFill="1" applyBorder="1">
      <alignment vertical="center"/>
    </xf>
    <xf numFmtId="0" fontId="0" fillId="2" borderId="13" xfId="0" applyFill="1" applyBorder="1">
      <alignment vertical="center"/>
    </xf>
    <xf numFmtId="0" fontId="0" fillId="2" borderId="11" xfId="0" applyFont="1" applyFill="1" applyBorder="1">
      <alignment vertical="center"/>
    </xf>
    <xf numFmtId="0" fontId="0" fillId="2" borderId="0" xfId="0" applyFont="1" applyFill="1">
      <alignment vertical="center"/>
    </xf>
    <xf numFmtId="0" fontId="0" fillId="2" borderId="14" xfId="0" applyFont="1" applyFill="1" applyBorder="1">
      <alignment vertical="center"/>
    </xf>
    <xf numFmtId="0" fontId="0" fillId="2" borderId="15" xfId="0" applyFont="1" applyFill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Font="1" applyFill="1" applyBorder="1">
      <alignment vertical="center"/>
    </xf>
    <xf numFmtId="0" fontId="0" fillId="2" borderId="7" xfId="0" applyFon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7" xfId="0" applyFill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4" tint="0.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microsoft.com/office/2011/relationships/chartColorStyle" Target="colors5.xml"/><Relationship Id="rId2" Type="http://schemas.microsoft.com/office/2011/relationships/chartStyle" Target="style5.xml"/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工作表条件查询演示!$A$35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工作表条件查询演示!$B$35:$AF$35</c:f>
              <c:numCache>
                <c:formatCode>General</c:formatCode>
                <c:ptCount val="31"/>
                <c:pt idx="0">
                  <c:v>945</c:v>
                </c:pt>
                <c:pt idx="1">
                  <c:v>1114</c:v>
                </c:pt>
                <c:pt idx="2">
                  <c:v>1090</c:v>
                </c:pt>
                <c:pt idx="3">
                  <c:v>1003</c:v>
                </c:pt>
                <c:pt idx="4">
                  <c:v>997</c:v>
                </c:pt>
                <c:pt idx="5">
                  <c:v>1127</c:v>
                </c:pt>
                <c:pt idx="6">
                  <c:v>974</c:v>
                </c:pt>
                <c:pt idx="7">
                  <c:v>1354</c:v>
                </c:pt>
                <c:pt idx="8">
                  <c:v>1032</c:v>
                </c:pt>
                <c:pt idx="9">
                  <c:v>1076</c:v>
                </c:pt>
                <c:pt idx="10">
                  <c:v>918</c:v>
                </c:pt>
                <c:pt idx="11">
                  <c:v>1219</c:v>
                </c:pt>
                <c:pt idx="12">
                  <c:v>1074</c:v>
                </c:pt>
                <c:pt idx="13">
                  <c:v>1159</c:v>
                </c:pt>
                <c:pt idx="14">
                  <c:v>1421</c:v>
                </c:pt>
                <c:pt idx="15">
                  <c:v>1004</c:v>
                </c:pt>
                <c:pt idx="16">
                  <c:v>1171</c:v>
                </c:pt>
                <c:pt idx="17">
                  <c:v>1140</c:v>
                </c:pt>
                <c:pt idx="18">
                  <c:v>1324</c:v>
                </c:pt>
                <c:pt idx="19">
                  <c:v>1094</c:v>
                </c:pt>
                <c:pt idx="20">
                  <c:v>1061</c:v>
                </c:pt>
                <c:pt idx="21">
                  <c:v>1018</c:v>
                </c:pt>
                <c:pt idx="22">
                  <c:v>1167</c:v>
                </c:pt>
                <c:pt idx="23">
                  <c:v>1168</c:v>
                </c:pt>
                <c:pt idx="24">
                  <c:v>1146</c:v>
                </c:pt>
                <c:pt idx="25">
                  <c:v>926</c:v>
                </c:pt>
                <c:pt idx="26">
                  <c:v>1099</c:v>
                </c:pt>
                <c:pt idx="27">
                  <c:v>1219</c:v>
                </c:pt>
                <c:pt idx="28">
                  <c:v>787</c:v>
                </c:pt>
                <c:pt idx="29">
                  <c:v>1183</c:v>
                </c:pt>
                <c:pt idx="30">
                  <c:v>1082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工作表条件查询演示!$A$36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工作表条件查询演示!$B$36:$AF$36</c:f>
              <c:numCache>
                <c:formatCode>General</c:formatCode>
                <c:ptCount val="31"/>
                <c:pt idx="0">
                  <c:v>1099</c:v>
                </c:pt>
                <c:pt idx="1">
                  <c:v>1099</c:v>
                </c:pt>
                <c:pt idx="2">
                  <c:v>1099</c:v>
                </c:pt>
                <c:pt idx="3">
                  <c:v>1099</c:v>
                </c:pt>
                <c:pt idx="4">
                  <c:v>1099</c:v>
                </c:pt>
                <c:pt idx="5">
                  <c:v>1099</c:v>
                </c:pt>
                <c:pt idx="6">
                  <c:v>1099</c:v>
                </c:pt>
                <c:pt idx="7">
                  <c:v>1099</c:v>
                </c:pt>
                <c:pt idx="8">
                  <c:v>1099</c:v>
                </c:pt>
                <c:pt idx="9">
                  <c:v>1099</c:v>
                </c:pt>
                <c:pt idx="10">
                  <c:v>1099</c:v>
                </c:pt>
                <c:pt idx="11">
                  <c:v>1099</c:v>
                </c:pt>
                <c:pt idx="12">
                  <c:v>1099</c:v>
                </c:pt>
                <c:pt idx="13">
                  <c:v>1099</c:v>
                </c:pt>
                <c:pt idx="14">
                  <c:v>1099</c:v>
                </c:pt>
                <c:pt idx="15">
                  <c:v>1099</c:v>
                </c:pt>
                <c:pt idx="16">
                  <c:v>1099</c:v>
                </c:pt>
                <c:pt idx="17">
                  <c:v>1099</c:v>
                </c:pt>
                <c:pt idx="18">
                  <c:v>1099</c:v>
                </c:pt>
                <c:pt idx="19">
                  <c:v>1099</c:v>
                </c:pt>
                <c:pt idx="20">
                  <c:v>1099</c:v>
                </c:pt>
                <c:pt idx="21">
                  <c:v>1099</c:v>
                </c:pt>
                <c:pt idx="22">
                  <c:v>1099</c:v>
                </c:pt>
                <c:pt idx="23">
                  <c:v>1099</c:v>
                </c:pt>
                <c:pt idx="24">
                  <c:v>1099</c:v>
                </c:pt>
                <c:pt idx="25">
                  <c:v>1099</c:v>
                </c:pt>
                <c:pt idx="26">
                  <c:v>1099</c:v>
                </c:pt>
                <c:pt idx="27">
                  <c:v>1099</c:v>
                </c:pt>
                <c:pt idx="28">
                  <c:v>1099</c:v>
                </c:pt>
                <c:pt idx="29">
                  <c:v>1099</c:v>
                </c:pt>
                <c:pt idx="30">
                  <c:v>1099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工作表条件查询演示!$A$38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工作表条件查询演示!$B$38:$AF$38</c:f>
              <c:numCache>
                <c:formatCode>General</c:formatCode>
                <c:ptCount val="31"/>
                <c:pt idx="0">
                  <c:v>945</c:v>
                </c:pt>
                <c:pt idx="1">
                  <c:v>#N/A</c:v>
                </c:pt>
                <c:pt idx="2">
                  <c:v>1090</c:v>
                </c:pt>
                <c:pt idx="3">
                  <c:v>1003</c:v>
                </c:pt>
                <c:pt idx="4">
                  <c:v>997</c:v>
                </c:pt>
                <c:pt idx="5">
                  <c:v>1127</c:v>
                </c:pt>
                <c:pt idx="6">
                  <c:v>0</c:v>
                </c:pt>
                <c:pt idx="7">
                  <c:v>#N/A</c:v>
                </c:pt>
                <c:pt idx="8">
                  <c:v>1032</c:v>
                </c:pt>
                <c:pt idx="9">
                  <c:v>1076</c:v>
                </c:pt>
                <c:pt idx="10">
                  <c:v>918</c:v>
                </c:pt>
                <c:pt idx="11">
                  <c:v>#N/A</c:v>
                </c:pt>
                <c:pt idx="12">
                  <c:v>1074</c:v>
                </c:pt>
                <c:pt idx="13">
                  <c:v>#N/A</c:v>
                </c:pt>
                <c:pt idx="14">
                  <c:v>#N/A</c:v>
                </c:pt>
                <c:pt idx="15">
                  <c:v>1004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1094</c:v>
                </c:pt>
                <c:pt idx="20">
                  <c:v>1061</c:v>
                </c:pt>
                <c:pt idx="21">
                  <c:v>1018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926</c:v>
                </c:pt>
                <c:pt idx="26">
                  <c:v>#N/A</c:v>
                </c:pt>
                <c:pt idx="27">
                  <c:v>#N/A</c:v>
                </c:pt>
                <c:pt idx="28">
                  <c:v>787</c:v>
                </c:pt>
                <c:pt idx="29">
                  <c:v>#N/A</c:v>
                </c:pt>
                <c:pt idx="30">
                  <c:v>1082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工作表条件查询演示!$A$37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工作表条件查询演示!$B$37:$AF$37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#N/A</c:v>
                      </c:pt>
                      <c:pt idx="1">
                        <c:v>1114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1127</c:v>
                      </c:pt>
                      <c:pt idx="6">
                        <c:v>#N/A</c:v>
                      </c:pt>
                      <c:pt idx="7">
                        <c:v>1354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1219</c:v>
                      </c:pt>
                      <c:pt idx="12">
                        <c:v>#N/A</c:v>
                      </c:pt>
                      <c:pt idx="13">
                        <c:v>1159</c:v>
                      </c:pt>
                      <c:pt idx="14">
                        <c:v>1421</c:v>
                      </c:pt>
                      <c:pt idx="15">
                        <c:v>#N/A</c:v>
                      </c:pt>
                      <c:pt idx="16">
                        <c:v>1171</c:v>
                      </c:pt>
                      <c:pt idx="17">
                        <c:v>1140</c:v>
                      </c:pt>
                      <c:pt idx="18">
                        <c:v>1324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1167</c:v>
                      </c:pt>
                      <c:pt idx="23">
                        <c:v>1168</c:v>
                      </c:pt>
                      <c:pt idx="24">
                        <c:v>1146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1219</c:v>
                      </c:pt>
                      <c:pt idx="28">
                        <c:v>#N/A</c:v>
                      </c:pt>
                      <c:pt idx="29">
                        <c:v>1183</c:v>
                      </c:pt>
                      <c:pt idx="30">
                        <c:v>#N/A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工作表条件查询演示!$B$40:$H$40</c15:sqref>
                  </c15:fullRef>
                </c:ext>
              </c:extLst>
              <c:f>(工作表条件查询演示!$B$40,工作表条件查询演示!$D$40,工作表条件查询演示!$F$40,工作表条件查询演示!$H$40)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工作表条件查询演示!$B$41:$H$41</c15:sqref>
                  </c15:fullRef>
                </c:ext>
              </c:extLst>
              <c:f>(工作表条件查询演示!$B$41,工作表条件查询演示!$D$41,工作表条件查询演示!$F$41,工作表条件查询演示!$H$41)</c:f>
              <c:numCache>
                <c:formatCode>0%</c:formatCode>
                <c:ptCount val="4"/>
                <c:pt idx="0">
                  <c:v>0.191745864132348</c:v>
                </c:pt>
                <c:pt idx="1">
                  <c:v>0.363281708318667</c:v>
                </c:pt>
                <c:pt idx="2">
                  <c:v>0.281708318667136</c:v>
                </c:pt>
                <c:pt idx="3">
                  <c:v>0.133462395869999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工作表条件查询演示!$B$40:$H$40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工作表条件查询演示!$B$40:$H$40</c15:sqref>
                  </c15:fullRef>
                </c:ext>
              </c:extLst>
              <c:f>(工作表条件查询演示!$B$40,工作表条件查询演示!$D$40,工作表条件查询演示!$F$40,工作表条件查询演示!$H$40)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工作表条件查询演示!$B$41:$H$41</c15:sqref>
                  </c15:fullRef>
                </c:ext>
              </c:extLst>
              <c:f>(工作表条件查询演示!$B$41,工作表条件查询演示!$D$41,工作表条件查询演示!$F$41,工作表条件查询演示!$H$41)</c:f>
              <c:numCache>
                <c:formatCode>0%</c:formatCode>
                <c:ptCount val="4"/>
                <c:pt idx="0">
                  <c:v>0.191745864132348</c:v>
                </c:pt>
                <c:pt idx="1">
                  <c:v>0.363281708318667</c:v>
                </c:pt>
                <c:pt idx="2">
                  <c:v>0.281708318667136</c:v>
                </c:pt>
                <c:pt idx="3">
                  <c:v>0.133462395869999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工作表条件查询制作!$A$36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工作表条件查询制作!$B$36:$AF$36</c:f>
              <c:numCache>
                <c:formatCode>General</c:formatCode>
                <c:ptCount val="31"/>
                <c:pt idx="0">
                  <c:v>1047</c:v>
                </c:pt>
                <c:pt idx="1">
                  <c:v>1078</c:v>
                </c:pt>
                <c:pt idx="2">
                  <c:v>1081</c:v>
                </c:pt>
                <c:pt idx="3">
                  <c:v>937</c:v>
                </c:pt>
                <c:pt idx="4">
                  <c:v>1276</c:v>
                </c:pt>
                <c:pt idx="5">
                  <c:v>1134</c:v>
                </c:pt>
                <c:pt idx="6">
                  <c:v>1067</c:v>
                </c:pt>
                <c:pt idx="7">
                  <c:v>1043</c:v>
                </c:pt>
                <c:pt idx="8">
                  <c:v>1274</c:v>
                </c:pt>
                <c:pt idx="9">
                  <c:v>1091</c:v>
                </c:pt>
                <c:pt idx="10">
                  <c:v>875</c:v>
                </c:pt>
                <c:pt idx="11">
                  <c:v>862</c:v>
                </c:pt>
                <c:pt idx="12">
                  <c:v>941</c:v>
                </c:pt>
                <c:pt idx="13">
                  <c:v>1230</c:v>
                </c:pt>
                <c:pt idx="14">
                  <c:v>892</c:v>
                </c:pt>
                <c:pt idx="15">
                  <c:v>1108</c:v>
                </c:pt>
                <c:pt idx="16">
                  <c:v>1258</c:v>
                </c:pt>
                <c:pt idx="17">
                  <c:v>1227</c:v>
                </c:pt>
                <c:pt idx="18">
                  <c:v>1250</c:v>
                </c:pt>
                <c:pt idx="19">
                  <c:v>844</c:v>
                </c:pt>
                <c:pt idx="20">
                  <c:v>1172</c:v>
                </c:pt>
                <c:pt idx="21">
                  <c:v>1268</c:v>
                </c:pt>
                <c:pt idx="22">
                  <c:v>980</c:v>
                </c:pt>
                <c:pt idx="23">
                  <c:v>933</c:v>
                </c:pt>
                <c:pt idx="24">
                  <c:v>1333</c:v>
                </c:pt>
                <c:pt idx="25">
                  <c:v>971</c:v>
                </c:pt>
                <c:pt idx="26">
                  <c:v>1329</c:v>
                </c:pt>
                <c:pt idx="27">
                  <c:v>1092</c:v>
                </c:pt>
                <c:pt idx="28">
                  <c:v>1136</c:v>
                </c:pt>
                <c:pt idx="29">
                  <c:v>1128</c:v>
                </c:pt>
                <c:pt idx="30">
                  <c:v>954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工作表条件查询制作!$A$37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工作表条件查询制作!$B$37:$AF$37</c:f>
              <c:numCache>
                <c:formatCode>General</c:formatCode>
                <c:ptCount val="31"/>
                <c:pt idx="0">
                  <c:v>1090</c:v>
                </c:pt>
                <c:pt idx="1">
                  <c:v>1090</c:v>
                </c:pt>
                <c:pt idx="2">
                  <c:v>1090</c:v>
                </c:pt>
                <c:pt idx="3">
                  <c:v>1090</c:v>
                </c:pt>
                <c:pt idx="4">
                  <c:v>1090</c:v>
                </c:pt>
                <c:pt idx="5">
                  <c:v>1090</c:v>
                </c:pt>
                <c:pt idx="6">
                  <c:v>1090</c:v>
                </c:pt>
                <c:pt idx="7">
                  <c:v>1090</c:v>
                </c:pt>
                <c:pt idx="8">
                  <c:v>1090</c:v>
                </c:pt>
                <c:pt idx="9">
                  <c:v>1090</c:v>
                </c:pt>
                <c:pt idx="10">
                  <c:v>1090</c:v>
                </c:pt>
                <c:pt idx="11">
                  <c:v>1090</c:v>
                </c:pt>
                <c:pt idx="12">
                  <c:v>1090</c:v>
                </c:pt>
                <c:pt idx="13">
                  <c:v>1090</c:v>
                </c:pt>
                <c:pt idx="14">
                  <c:v>1090</c:v>
                </c:pt>
                <c:pt idx="15">
                  <c:v>1090</c:v>
                </c:pt>
                <c:pt idx="16">
                  <c:v>1090</c:v>
                </c:pt>
                <c:pt idx="17">
                  <c:v>1090</c:v>
                </c:pt>
                <c:pt idx="18">
                  <c:v>1090</c:v>
                </c:pt>
                <c:pt idx="19">
                  <c:v>1090</c:v>
                </c:pt>
                <c:pt idx="20">
                  <c:v>1090</c:v>
                </c:pt>
                <c:pt idx="21">
                  <c:v>1090</c:v>
                </c:pt>
                <c:pt idx="22">
                  <c:v>1090</c:v>
                </c:pt>
                <c:pt idx="23">
                  <c:v>1090</c:v>
                </c:pt>
                <c:pt idx="24">
                  <c:v>1090</c:v>
                </c:pt>
                <c:pt idx="25">
                  <c:v>1090</c:v>
                </c:pt>
                <c:pt idx="26">
                  <c:v>1090</c:v>
                </c:pt>
                <c:pt idx="27">
                  <c:v>1090</c:v>
                </c:pt>
                <c:pt idx="28">
                  <c:v>1090</c:v>
                </c:pt>
                <c:pt idx="29">
                  <c:v>1090</c:v>
                </c:pt>
                <c:pt idx="30">
                  <c:v>1090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工作表条件查询制作!$A$39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工作表条件查询制作!$B$39:$AF$39</c:f>
              <c:numCache>
                <c:formatCode>General</c:formatCode>
                <c:ptCount val="31"/>
                <c:pt idx="0">
                  <c:v>1047</c:v>
                </c:pt>
                <c:pt idx="1">
                  <c:v>1078</c:v>
                </c:pt>
                <c:pt idx="2">
                  <c:v>1081</c:v>
                </c:pt>
                <c:pt idx="3">
                  <c:v>937</c:v>
                </c:pt>
                <c:pt idx="4">
                  <c:v>1276</c:v>
                </c:pt>
                <c:pt idx="5">
                  <c:v>1134</c:v>
                </c:pt>
                <c:pt idx="6">
                  <c:v>0</c:v>
                </c:pt>
                <c:pt idx="7">
                  <c:v>1043</c:v>
                </c:pt>
                <c:pt idx="8">
                  <c:v>#N/A</c:v>
                </c:pt>
                <c:pt idx="9">
                  <c:v>#N/A</c:v>
                </c:pt>
                <c:pt idx="10">
                  <c:v>875</c:v>
                </c:pt>
                <c:pt idx="11">
                  <c:v>862</c:v>
                </c:pt>
                <c:pt idx="12">
                  <c:v>941</c:v>
                </c:pt>
                <c:pt idx="13">
                  <c:v>#N/A</c:v>
                </c:pt>
                <c:pt idx="14">
                  <c:v>892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844</c:v>
                </c:pt>
                <c:pt idx="20">
                  <c:v>#N/A</c:v>
                </c:pt>
                <c:pt idx="21">
                  <c:v>#N/A</c:v>
                </c:pt>
                <c:pt idx="22">
                  <c:v>980</c:v>
                </c:pt>
                <c:pt idx="23">
                  <c:v>933</c:v>
                </c:pt>
                <c:pt idx="24">
                  <c:v>#N/A</c:v>
                </c:pt>
                <c:pt idx="25">
                  <c:v>971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954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工作表条件查询制作!$A$38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{1124,1106,1041,1094,#N/A,#N/A,#N/A,#N/A,#N/A,#N/A,1119,#N/A,1277,#N/A,1150,#N/A,#N/A,#N/A,#N/A,#N/A,1387,#N/A,1077,1217,1160,1222,1045,#N/A,1124,1089,#N/A}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1124</c:v>
                      </c:pt>
                      <c:pt idx="1">
                        <c:v>1106</c:v>
                      </c:pt>
                      <c:pt idx="2">
                        <c:v>1041</c:v>
                      </c:pt>
                      <c:pt idx="3">
                        <c:v>1094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1119</c:v>
                      </c:pt>
                      <c:pt idx="11">
                        <c:v>#N/A</c:v>
                      </c:pt>
                      <c:pt idx="12">
                        <c:v>1277</c:v>
                      </c:pt>
                      <c:pt idx="13">
                        <c:v>#N/A</c:v>
                      </c:pt>
                      <c:pt idx="14">
                        <c:v>1150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1387</c:v>
                      </c:pt>
                      <c:pt idx="21">
                        <c:v>#N/A</c:v>
                      </c:pt>
                      <c:pt idx="22">
                        <c:v>1077</c:v>
                      </c:pt>
                      <c:pt idx="23">
                        <c:v>1217</c:v>
                      </c:pt>
                      <c:pt idx="24">
                        <c:v>1160</c:v>
                      </c:pt>
                      <c:pt idx="25">
                        <c:v>1222</c:v>
                      </c:pt>
                      <c:pt idx="26">
                        <c:v>1045</c:v>
                      </c:pt>
                      <c:pt idx="27">
                        <c:v>#N/A</c:v>
                      </c:pt>
                      <c:pt idx="28">
                        <c:v>1124</c:v>
                      </c:pt>
                      <c:pt idx="29">
                        <c:v>1089</c:v>
                      </c:pt>
                      <c:pt idx="30">
                        <c:v>#N/A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工作表条件查询制作!$B$41:$H$41</c15:sqref>
                  </c15:fullRef>
                </c:ext>
              </c:extLst>
              <c:f>(工作表条件查询制作!$B$41,工作表条件查询制作!$D$41,工作表条件查询制作!$F$41,工作表条件查询制作!$H$41)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工作表条件查询制作!$B$42:$H$42</c15:sqref>
                  </c15:fullRef>
                </c:ext>
              </c:extLst>
              <c:f>(工作表条件查询制作!$B$42,工作表条件查询制作!$D$42,工作表条件查询制作!$F$42,工作表条件查询制作!$H$42)</c:f>
              <c:numCache>
                <c:formatCode>0%</c:formatCode>
                <c:ptCount val="4"/>
                <c:pt idx="0">
                  <c:v>0.191653603856733</c:v>
                </c:pt>
                <c:pt idx="1">
                  <c:v>0.37316258022537</c:v>
                </c:pt>
                <c:pt idx="2">
                  <c:v>0.271775457691284</c:v>
                </c:pt>
                <c:pt idx="3">
                  <c:v>0.130312620153205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工作表条件查询制作!$B$41:$H$41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工作表条件查询制作!$B$41:$H$41</c15:sqref>
                  </c15:fullRef>
                </c:ext>
              </c:extLst>
              <c:f>(工作表条件查询制作!$B$41,工作表条件查询制作!$D$41,工作表条件查询制作!$F$41,工作表条件查询制作!$H$41)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工作表条件查询制作!$B$42:$H$42</c15:sqref>
                  </c15:fullRef>
                </c:ext>
              </c:extLst>
              <c:f>(工作表条件查询制作!$B$42,工作表条件查询制作!$D$42,工作表条件查询制作!$F$42,工作表条件查询制作!$H$42)</c:f>
              <c:numCache>
                <c:formatCode>0%</c:formatCode>
                <c:ptCount val="4"/>
                <c:pt idx="0">
                  <c:v>0.191653603856733</c:v>
                </c:pt>
                <c:pt idx="1">
                  <c:v>0.37316258022537</c:v>
                </c:pt>
                <c:pt idx="2">
                  <c:v>0.271775457691284</c:v>
                </c:pt>
                <c:pt idx="3">
                  <c:v>0.130312620153205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2" name="矩形 1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3" name="组合 2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4" name="图片 3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5" name="图片 4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6" name="图片 5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7" name="图片 6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8" name="矩形 7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9" name="矩形 8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0" name="矩形 9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10795</xdr:colOff>
      <xdr:row>42</xdr:row>
      <xdr:rowOff>13970</xdr:rowOff>
    </xdr:from>
    <xdr:to>
      <xdr:col>17</xdr:col>
      <xdr:colOff>603250</xdr:colOff>
      <xdr:row>71</xdr:row>
      <xdr:rowOff>160020</xdr:rowOff>
    </xdr:to>
    <xdr:graphicFrame>
      <xdr:nvGraphicFramePr>
        <xdr:cNvPr id="3" name="图表 2"/>
        <xdr:cNvGraphicFramePr/>
      </xdr:nvGraphicFramePr>
      <xdr:xfrm>
        <a:off x="991870" y="7595870"/>
        <a:ext cx="927925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20320</xdr:colOff>
      <xdr:row>42</xdr:row>
      <xdr:rowOff>10795</xdr:rowOff>
    </xdr:from>
    <xdr:to>
      <xdr:col>25</xdr:col>
      <xdr:colOff>589280</xdr:colOff>
      <xdr:row>56</xdr:row>
      <xdr:rowOff>160020</xdr:rowOff>
    </xdr:to>
    <xdr:graphicFrame>
      <xdr:nvGraphicFramePr>
        <xdr:cNvPr id="10" name="图表 9"/>
        <xdr:cNvGraphicFramePr/>
      </xdr:nvGraphicFramePr>
      <xdr:xfrm>
        <a:off x="10307320" y="7592695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11" name="矩形 10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57</xdr:row>
      <xdr:rowOff>10795</xdr:rowOff>
    </xdr:from>
    <xdr:to>
      <xdr:col>25</xdr:col>
      <xdr:colOff>584835</xdr:colOff>
      <xdr:row>71</xdr:row>
      <xdr:rowOff>147955</xdr:rowOff>
    </xdr:to>
    <xdr:graphicFrame>
      <xdr:nvGraphicFramePr>
        <xdr:cNvPr id="12" name="图表 11"/>
        <xdr:cNvGraphicFramePr/>
      </xdr:nvGraphicFramePr>
      <xdr:xfrm>
        <a:off x="10306050" y="10164445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10795</xdr:colOff>
      <xdr:row>43</xdr:row>
      <xdr:rowOff>13970</xdr:rowOff>
    </xdr:from>
    <xdr:to>
      <xdr:col>17</xdr:col>
      <xdr:colOff>603250</xdr:colOff>
      <xdr:row>72</xdr:row>
      <xdr:rowOff>160020</xdr:rowOff>
    </xdr:to>
    <xdr:graphicFrame>
      <xdr:nvGraphicFramePr>
        <xdr:cNvPr id="2" name="图表 1"/>
        <xdr:cNvGraphicFramePr/>
      </xdr:nvGraphicFramePr>
      <xdr:xfrm>
        <a:off x="991870" y="7922895"/>
        <a:ext cx="927925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20320</xdr:colOff>
      <xdr:row>43</xdr:row>
      <xdr:rowOff>10795</xdr:rowOff>
    </xdr:from>
    <xdr:to>
      <xdr:col>25</xdr:col>
      <xdr:colOff>589280</xdr:colOff>
      <xdr:row>57</xdr:row>
      <xdr:rowOff>160020</xdr:rowOff>
    </xdr:to>
    <xdr:graphicFrame>
      <xdr:nvGraphicFramePr>
        <xdr:cNvPr id="3" name="图表 2"/>
        <xdr:cNvGraphicFramePr/>
      </xdr:nvGraphicFramePr>
      <xdr:xfrm>
        <a:off x="10307320" y="7919720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4" name="矩形 3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7169" name="Toggle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58</xdr:row>
      <xdr:rowOff>10795</xdr:rowOff>
    </xdr:from>
    <xdr:to>
      <xdr:col>25</xdr:col>
      <xdr:colOff>584835</xdr:colOff>
      <xdr:row>72</xdr:row>
      <xdr:rowOff>147955</xdr:rowOff>
    </xdr:to>
    <xdr:graphicFrame>
      <xdr:nvGraphicFramePr>
        <xdr:cNvPr id="6" name="图表 5"/>
        <xdr:cNvGraphicFramePr/>
      </xdr:nvGraphicFramePr>
      <xdr:xfrm>
        <a:off x="10306050" y="10491470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BK52"/>
  <sheetViews>
    <sheetView zoomScale="85" zoomScaleNormal="85" workbookViewId="0">
      <selection activeCell="A1" sqref="A1"/>
    </sheetView>
  </sheetViews>
  <sheetFormatPr defaultColWidth="2.875" defaultRowHeight="13.5"/>
  <cols>
    <col min="1" max="1" width="2.875" style="4" customWidth="1"/>
    <col min="2" max="2" width="0.808333333333333" style="4" customWidth="1"/>
    <col min="3" max="62" width="2.875" style="4" customWidth="1"/>
    <col min="63" max="63" width="0.808333333333333" style="4" customWidth="1"/>
    <col min="64" max="16367" width="2.875" style="4" customWidth="1"/>
    <col min="16368" max="16384" width="2.875" style="4"/>
  </cols>
  <sheetData>
    <row r="2" s="4" customFormat="1" ht="3" customHeight="1" spans="2:63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</row>
    <row r="3" spans="2:63">
      <c r="B3" s="5"/>
      <c r="BK3" s="5"/>
    </row>
    <row r="4" spans="2:63">
      <c r="B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K4" s="5"/>
    </row>
    <row r="5" spans="2:63">
      <c r="B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K5" s="5"/>
    </row>
    <row r="6" spans="2:63">
      <c r="B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K6" s="5"/>
    </row>
    <row r="7" spans="2:63">
      <c r="B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K7" s="5"/>
    </row>
    <row r="8" spans="2:63">
      <c r="B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K8" s="5"/>
    </row>
    <row r="9" spans="2:63">
      <c r="B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K9" s="5"/>
    </row>
    <row r="10" spans="2:63">
      <c r="B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K10" s="5"/>
    </row>
    <row r="11" spans="2:63">
      <c r="B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K11" s="5"/>
    </row>
    <row r="12" spans="2:63">
      <c r="B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K12" s="5"/>
    </row>
    <row r="13" spans="2:63">
      <c r="B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K13" s="5"/>
    </row>
    <row r="14" ht="1.5" customHeight="1" spans="2:63">
      <c r="B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K14" s="5"/>
    </row>
    <row r="15" customHeight="1" spans="2:63">
      <c r="B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K15" s="5"/>
    </row>
    <row r="16" customHeight="1" spans="2:63">
      <c r="B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K16" s="5"/>
    </row>
    <row r="17" ht="1.5" customHeight="1" spans="2:63">
      <c r="B17" s="5"/>
      <c r="D17" s="5"/>
      <c r="E17" s="5"/>
      <c r="F17" s="5"/>
      <c r="G17" s="5"/>
      <c r="H17" s="5"/>
      <c r="I17" s="5"/>
      <c r="J17" s="5"/>
      <c r="K17" s="5"/>
      <c r="BG17" s="5"/>
      <c r="BH17" s="5"/>
      <c r="BI17" s="5"/>
      <c r="BK17" s="5"/>
    </row>
    <row r="18" spans="2:63">
      <c r="B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K18" s="5"/>
    </row>
    <row r="19" spans="2:63">
      <c r="B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K19" s="5"/>
    </row>
    <row r="20" spans="2:63">
      <c r="B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K20" s="5"/>
    </row>
    <row r="21" spans="2:63">
      <c r="B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K21" s="5"/>
    </row>
    <row r="22" spans="2:63">
      <c r="B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K22" s="5"/>
    </row>
    <row r="23" spans="2:6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K23" s="5"/>
    </row>
    <row r="24" spans="2:63">
      <c r="B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K24" s="5"/>
    </row>
    <row r="25" spans="2:63">
      <c r="B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K25" s="5"/>
    </row>
    <row r="26" spans="2:63">
      <c r="B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K26" s="5"/>
    </row>
    <row r="27" spans="2:63">
      <c r="B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K27" s="5"/>
    </row>
    <row r="28" spans="2:63">
      <c r="B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K28" s="5"/>
    </row>
    <row r="29" spans="2:63">
      <c r="B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K29" s="5"/>
    </row>
    <row r="30" spans="2:63">
      <c r="B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K30" s="5"/>
    </row>
    <row r="31" spans="2:63">
      <c r="B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K31" s="5"/>
    </row>
    <row r="32" spans="2:63">
      <c r="B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K32" s="5"/>
    </row>
    <row r="33" spans="2:63">
      <c r="B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K33" s="5"/>
    </row>
    <row r="34" spans="2:63">
      <c r="B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K34" s="5"/>
    </row>
    <row r="35" spans="2:63">
      <c r="B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K35" s="5"/>
    </row>
    <row r="36" spans="2:63">
      <c r="B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K36" s="5"/>
    </row>
    <row r="37" spans="2:63">
      <c r="B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K37" s="5"/>
    </row>
    <row r="38" spans="2:63">
      <c r="B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K38" s="5"/>
    </row>
    <row r="39" spans="2:63">
      <c r="B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K39" s="5"/>
    </row>
    <row r="40" spans="2:63">
      <c r="B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K40" s="5"/>
    </row>
    <row r="41" spans="2:63">
      <c r="B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K41" s="5"/>
    </row>
    <row r="42" spans="2:63">
      <c r="B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K42" s="5"/>
    </row>
    <row r="43" spans="2:63">
      <c r="B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K43" s="5"/>
    </row>
    <row r="44" spans="2:63">
      <c r="B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K44" s="5"/>
    </row>
    <row r="45" spans="2:63">
      <c r="B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K45" s="5"/>
    </row>
    <row r="46" spans="2:63">
      <c r="B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K46" s="5"/>
    </row>
    <row r="47" spans="2:63">
      <c r="B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K47" s="5"/>
    </row>
    <row r="48" spans="2:63">
      <c r="B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K48" s="5"/>
    </row>
    <row r="49" spans="2:63">
      <c r="B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K49" s="5"/>
    </row>
    <row r="50" spans="2:63">
      <c r="B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K50" s="5"/>
    </row>
    <row r="51" spans="2:63">
      <c r="B51" s="5"/>
      <c r="BK51" s="5"/>
    </row>
    <row r="52" s="4" customFormat="1" ht="3" customHeight="1" spans="2:63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72"/>
  <sheetViews>
    <sheetView zoomScale="85" zoomScaleNormal="85" workbookViewId="0">
      <selection activeCell="G19" sqref="G19"/>
    </sheetView>
  </sheetViews>
  <sheetFormatPr defaultColWidth="9" defaultRowHeight="13.5"/>
  <cols>
    <col min="1" max="1" width="12.875" style="4" customWidth="1"/>
    <col min="2" max="17" width="7.125" style="4" customWidth="1"/>
    <col min="18" max="30" width="8.125" style="4" customWidth="1"/>
    <col min="31" max="31" width="9" style="4"/>
    <col min="32" max="32" width="8.125" style="4" customWidth="1"/>
    <col min="33" max="16384" width="9" style="4"/>
  </cols>
  <sheetData>
    <row r="1" s="1" customFormat="1" spans="1:2">
      <c r="A1" s="4"/>
      <c r="B1" s="4"/>
    </row>
    <row r="2" s="8" customFormat="1" spans="1:2">
      <c r="A2" s="12"/>
      <c r="B2" s="12"/>
    </row>
    <row r="3" s="8" customFormat="1" spans="1:2">
      <c r="A3" s="12"/>
      <c r="B3" s="12"/>
    </row>
    <row r="4" s="8" customFormat="1" spans="1:2">
      <c r="A4" s="12"/>
      <c r="B4" s="12"/>
    </row>
    <row r="5" s="8" customFormat="1" spans="1:2">
      <c r="A5" s="12"/>
      <c r="B5" s="12"/>
    </row>
    <row r="6" s="8" customFormat="1" spans="1:2">
      <c r="A6" s="12"/>
      <c r="B6" s="12"/>
    </row>
    <row r="7" s="9" customFormat="1" ht="14.25"/>
    <row r="8" s="10" customFormat="1" ht="14.25"/>
    <row r="9" s="3" customFormat="1" ht="14.25"/>
    <row r="10" ht="14.25"/>
    <row r="11" s="11" customFormat="1" ht="15" customHeight="1" spans="2:11">
      <c r="B11" s="13" t="s">
        <v>0</v>
      </c>
      <c r="C11" s="14" t="s">
        <v>1</v>
      </c>
      <c r="D11" s="14"/>
      <c r="E11" s="14"/>
      <c r="F11" s="13" t="s">
        <v>2</v>
      </c>
      <c r="G11" s="15">
        <v>43856</v>
      </c>
      <c r="H11" s="15"/>
      <c r="I11" s="15"/>
      <c r="J11" s="13" t="s">
        <v>3</v>
      </c>
      <c r="K11" s="33">
        <f ca="1">VLOOKUP(C11,A14:AF29,MATCH(G11,B13:AF13,0)+1,FALSE)</f>
        <v>39</v>
      </c>
    </row>
    <row r="13" spans="1:32">
      <c r="A13" s="18" t="s">
        <v>2</v>
      </c>
      <c r="B13" s="19">
        <v>43831</v>
      </c>
      <c r="C13" s="19">
        <v>43832</v>
      </c>
      <c r="D13" s="19">
        <v>43833</v>
      </c>
      <c r="E13" s="19">
        <v>43834</v>
      </c>
      <c r="F13" s="19">
        <v>43835</v>
      </c>
      <c r="G13" s="19">
        <v>43836</v>
      </c>
      <c r="H13" s="19">
        <v>43837</v>
      </c>
      <c r="I13" s="19">
        <v>43838</v>
      </c>
      <c r="J13" s="19">
        <v>43839</v>
      </c>
      <c r="K13" s="19">
        <v>43840</v>
      </c>
      <c r="L13" s="19">
        <v>43841</v>
      </c>
      <c r="M13" s="19">
        <v>43842</v>
      </c>
      <c r="N13" s="19">
        <v>43843</v>
      </c>
      <c r="O13" s="19">
        <v>43844</v>
      </c>
      <c r="P13" s="19">
        <v>43845</v>
      </c>
      <c r="Q13" s="19">
        <v>43846</v>
      </c>
      <c r="R13" s="19">
        <v>43847</v>
      </c>
      <c r="S13" s="19">
        <v>43848</v>
      </c>
      <c r="T13" s="19">
        <v>43849</v>
      </c>
      <c r="U13" s="19">
        <v>43850</v>
      </c>
      <c r="V13" s="19">
        <v>43851</v>
      </c>
      <c r="W13" s="19">
        <v>43852</v>
      </c>
      <c r="X13" s="19">
        <v>43853</v>
      </c>
      <c r="Y13" s="19">
        <v>43854</v>
      </c>
      <c r="Z13" s="19">
        <v>43855</v>
      </c>
      <c r="AA13" s="19">
        <v>43856</v>
      </c>
      <c r="AB13" s="19">
        <v>43857</v>
      </c>
      <c r="AC13" s="19">
        <v>43858</v>
      </c>
      <c r="AD13" s="19">
        <v>43859</v>
      </c>
      <c r="AE13" s="19">
        <v>43860</v>
      </c>
      <c r="AF13" s="19">
        <v>43861</v>
      </c>
    </row>
    <row r="14" ht="15" customHeight="1" spans="1:32">
      <c r="A14" s="20" t="s">
        <v>4</v>
      </c>
      <c r="B14" s="21">
        <f ca="1" t="shared" ref="B14:AF14" si="0">RANDBETWEEN(1,100)</f>
        <v>30</v>
      </c>
      <c r="C14" s="21">
        <f ca="1" t="shared" si="0"/>
        <v>30</v>
      </c>
      <c r="D14" s="21">
        <f ca="1" t="shared" si="0"/>
        <v>16</v>
      </c>
      <c r="E14" s="21">
        <f ca="1" t="shared" si="0"/>
        <v>8</v>
      </c>
      <c r="F14" s="21">
        <f ca="1" t="shared" si="0"/>
        <v>21</v>
      </c>
      <c r="G14" s="21">
        <f ca="1" t="shared" si="0"/>
        <v>70</v>
      </c>
      <c r="H14" s="21">
        <f ca="1" t="shared" si="0"/>
        <v>14</v>
      </c>
      <c r="I14" s="21">
        <f ca="1" t="shared" si="0"/>
        <v>87</v>
      </c>
      <c r="J14" s="21">
        <f ca="1" t="shared" si="0"/>
        <v>56</v>
      </c>
      <c r="K14" s="21">
        <f ca="1" t="shared" si="0"/>
        <v>78</v>
      </c>
      <c r="L14" s="21">
        <f ca="1" t="shared" si="0"/>
        <v>33</v>
      </c>
      <c r="M14" s="21">
        <f ca="1" t="shared" si="0"/>
        <v>1</v>
      </c>
      <c r="N14" s="21">
        <f ca="1" t="shared" si="0"/>
        <v>46</v>
      </c>
      <c r="O14" s="21">
        <f ca="1" t="shared" si="0"/>
        <v>93</v>
      </c>
      <c r="P14" s="21">
        <f ca="1" t="shared" si="0"/>
        <v>63</v>
      </c>
      <c r="Q14" s="21">
        <f ca="1" t="shared" si="0"/>
        <v>83</v>
      </c>
      <c r="R14" s="21">
        <f ca="1" t="shared" si="0"/>
        <v>100</v>
      </c>
      <c r="S14" s="21">
        <f ca="1" t="shared" si="0"/>
        <v>82</v>
      </c>
      <c r="T14" s="21">
        <f ca="1" t="shared" si="0"/>
        <v>90</v>
      </c>
      <c r="U14" s="21">
        <f ca="1" t="shared" si="0"/>
        <v>27</v>
      </c>
      <c r="V14" s="21">
        <f ca="1" t="shared" si="0"/>
        <v>6</v>
      </c>
      <c r="W14" s="21">
        <f ca="1" t="shared" si="0"/>
        <v>13</v>
      </c>
      <c r="X14" s="21">
        <f ca="1" t="shared" si="0"/>
        <v>2</v>
      </c>
      <c r="Y14" s="21">
        <f ca="1" t="shared" si="0"/>
        <v>17</v>
      </c>
      <c r="Z14" s="21">
        <f ca="1" t="shared" si="0"/>
        <v>69</v>
      </c>
      <c r="AA14" s="21">
        <f ca="1" t="shared" si="0"/>
        <v>53</v>
      </c>
      <c r="AB14" s="21">
        <f ca="1" t="shared" si="0"/>
        <v>62</v>
      </c>
      <c r="AC14" s="21">
        <f ca="1" t="shared" si="0"/>
        <v>5</v>
      </c>
      <c r="AD14" s="21">
        <f ca="1" t="shared" si="0"/>
        <v>22</v>
      </c>
      <c r="AE14" s="21">
        <f ca="1" t="shared" si="0"/>
        <v>54</v>
      </c>
      <c r="AF14" s="21">
        <f ca="1" t="shared" si="0"/>
        <v>37</v>
      </c>
    </row>
    <row r="15" ht="15" customHeight="1" spans="1:32">
      <c r="A15" s="20" t="s">
        <v>5</v>
      </c>
      <c r="B15" s="21">
        <f ca="1" t="shared" ref="B15:AF15" si="1">RANDBETWEEN(1,100)</f>
        <v>26</v>
      </c>
      <c r="C15" s="21">
        <f ca="1" t="shared" si="1"/>
        <v>13</v>
      </c>
      <c r="D15" s="21">
        <f ca="1" t="shared" si="1"/>
        <v>51</v>
      </c>
      <c r="E15" s="21">
        <f ca="1" t="shared" si="1"/>
        <v>98</v>
      </c>
      <c r="F15" s="21">
        <f ca="1" t="shared" si="1"/>
        <v>70</v>
      </c>
      <c r="G15" s="21">
        <f ca="1" t="shared" si="1"/>
        <v>55</v>
      </c>
      <c r="H15" s="21">
        <f ca="1" t="shared" si="1"/>
        <v>20</v>
      </c>
      <c r="I15" s="21">
        <f ca="1" t="shared" si="1"/>
        <v>24</v>
      </c>
      <c r="J15" s="21">
        <f ca="1" t="shared" si="1"/>
        <v>54</v>
      </c>
      <c r="K15" s="21">
        <f ca="1" t="shared" si="1"/>
        <v>15</v>
      </c>
      <c r="L15" s="21">
        <f ca="1" t="shared" si="1"/>
        <v>90</v>
      </c>
      <c r="M15" s="21">
        <f ca="1" t="shared" si="1"/>
        <v>36</v>
      </c>
      <c r="N15" s="21">
        <f ca="1" t="shared" si="1"/>
        <v>5</v>
      </c>
      <c r="O15" s="21">
        <f ca="1" t="shared" si="1"/>
        <v>60</v>
      </c>
      <c r="P15" s="21">
        <f ca="1" t="shared" si="1"/>
        <v>52</v>
      </c>
      <c r="Q15" s="21">
        <f ca="1" t="shared" si="1"/>
        <v>39</v>
      </c>
      <c r="R15" s="21">
        <f ca="1" t="shared" si="1"/>
        <v>56</v>
      </c>
      <c r="S15" s="21">
        <f ca="1" t="shared" si="1"/>
        <v>6</v>
      </c>
      <c r="T15" s="21">
        <f ca="1" t="shared" si="1"/>
        <v>3</v>
      </c>
      <c r="U15" s="21">
        <f ca="1" t="shared" si="1"/>
        <v>26</v>
      </c>
      <c r="V15" s="21">
        <f ca="1" t="shared" si="1"/>
        <v>40</v>
      </c>
      <c r="W15" s="21">
        <f ca="1" t="shared" si="1"/>
        <v>63</v>
      </c>
      <c r="X15" s="21">
        <f ca="1" t="shared" si="1"/>
        <v>94</v>
      </c>
      <c r="Y15" s="21">
        <f ca="1" t="shared" si="1"/>
        <v>74</v>
      </c>
      <c r="Z15" s="21">
        <f ca="1" t="shared" si="1"/>
        <v>40</v>
      </c>
      <c r="AA15" s="21">
        <f ca="1" t="shared" si="1"/>
        <v>34</v>
      </c>
      <c r="AB15" s="21">
        <f ca="1" t="shared" si="1"/>
        <v>96</v>
      </c>
      <c r="AC15" s="21">
        <f ca="1" t="shared" si="1"/>
        <v>73</v>
      </c>
      <c r="AD15" s="21">
        <f ca="1" t="shared" si="1"/>
        <v>87</v>
      </c>
      <c r="AE15" s="21">
        <f ca="1" t="shared" si="1"/>
        <v>58</v>
      </c>
      <c r="AF15" s="21">
        <f ca="1" t="shared" si="1"/>
        <v>67</v>
      </c>
    </row>
    <row r="16" ht="15" customHeight="1" spans="1:32">
      <c r="A16" s="20" t="s">
        <v>6</v>
      </c>
      <c r="B16" s="21">
        <f ca="1" t="shared" ref="B16:AF16" si="2">RANDBETWEEN(1,100)</f>
        <v>50</v>
      </c>
      <c r="C16" s="21">
        <f ca="1" t="shared" si="2"/>
        <v>61</v>
      </c>
      <c r="D16" s="21">
        <f ca="1" t="shared" si="2"/>
        <v>99</v>
      </c>
      <c r="E16" s="21">
        <f ca="1" t="shared" si="2"/>
        <v>54</v>
      </c>
      <c r="F16" s="21">
        <f ca="1" t="shared" si="2"/>
        <v>46</v>
      </c>
      <c r="G16" s="21">
        <f ca="1" t="shared" si="2"/>
        <v>13</v>
      </c>
      <c r="H16" s="21">
        <f ca="1" t="shared" si="2"/>
        <v>29</v>
      </c>
      <c r="I16" s="21">
        <f ca="1" t="shared" si="2"/>
        <v>36</v>
      </c>
      <c r="J16" s="21">
        <f ca="1" t="shared" si="2"/>
        <v>86</v>
      </c>
      <c r="K16" s="21">
        <f ca="1" t="shared" si="2"/>
        <v>26</v>
      </c>
      <c r="L16" s="21">
        <f ca="1" t="shared" si="2"/>
        <v>16</v>
      </c>
      <c r="M16" s="21">
        <f ca="1" t="shared" si="2"/>
        <v>11</v>
      </c>
      <c r="N16" s="21">
        <f ca="1" t="shared" si="2"/>
        <v>78</v>
      </c>
      <c r="O16" s="21">
        <f ca="1" t="shared" si="2"/>
        <v>80</v>
      </c>
      <c r="P16" s="21">
        <f ca="1" t="shared" si="2"/>
        <v>82</v>
      </c>
      <c r="Q16" s="21">
        <f ca="1" t="shared" si="2"/>
        <v>18</v>
      </c>
      <c r="R16" s="21">
        <f ca="1" t="shared" si="2"/>
        <v>68</v>
      </c>
      <c r="S16" s="21">
        <f ca="1" t="shared" si="2"/>
        <v>56</v>
      </c>
      <c r="T16" s="21">
        <f ca="1" t="shared" si="2"/>
        <v>69</v>
      </c>
      <c r="U16" s="21">
        <f ca="1" t="shared" si="2"/>
        <v>42</v>
      </c>
      <c r="V16" s="21">
        <f ca="1" t="shared" si="2"/>
        <v>4</v>
      </c>
      <c r="W16" s="21">
        <f ca="1" t="shared" si="2"/>
        <v>11</v>
      </c>
      <c r="X16" s="21">
        <f ca="1" t="shared" si="2"/>
        <v>40</v>
      </c>
      <c r="Y16" s="21">
        <f ca="1" t="shared" si="2"/>
        <v>75</v>
      </c>
      <c r="Z16" s="21">
        <f ca="1" t="shared" si="2"/>
        <v>22</v>
      </c>
      <c r="AA16" s="21">
        <f ca="1" t="shared" si="2"/>
        <v>72</v>
      </c>
      <c r="AB16" s="21">
        <f ca="1" t="shared" si="2"/>
        <v>66</v>
      </c>
      <c r="AC16" s="21">
        <f ca="1" t="shared" si="2"/>
        <v>66</v>
      </c>
      <c r="AD16" s="21">
        <f ca="1" t="shared" si="2"/>
        <v>47</v>
      </c>
      <c r="AE16" s="21">
        <f ca="1" t="shared" si="2"/>
        <v>44</v>
      </c>
      <c r="AF16" s="21">
        <f ca="1" t="shared" si="2"/>
        <v>45</v>
      </c>
    </row>
    <row r="17" ht="15" customHeight="1" spans="1:32">
      <c r="A17" s="20" t="s">
        <v>1</v>
      </c>
      <c r="B17" s="21">
        <f ca="1" t="shared" ref="B17:AF17" si="3">RANDBETWEEN(1,100)</f>
        <v>65</v>
      </c>
      <c r="C17" s="21">
        <f ca="1" t="shared" si="3"/>
        <v>54</v>
      </c>
      <c r="D17" s="21">
        <f ca="1" t="shared" si="3"/>
        <v>14</v>
      </c>
      <c r="E17" s="21">
        <f ca="1" t="shared" si="3"/>
        <v>46</v>
      </c>
      <c r="F17" s="21">
        <f ca="1" t="shared" si="3"/>
        <v>23</v>
      </c>
      <c r="G17" s="21">
        <f ca="1" t="shared" si="3"/>
        <v>74</v>
      </c>
      <c r="H17" s="21">
        <f ca="1" t="shared" si="3"/>
        <v>31</v>
      </c>
      <c r="I17" s="21">
        <f ca="1" t="shared" si="3"/>
        <v>85</v>
      </c>
      <c r="J17" s="21">
        <f ca="1" t="shared" si="3"/>
        <v>51</v>
      </c>
      <c r="K17" s="21">
        <f ca="1" t="shared" si="3"/>
        <v>71</v>
      </c>
      <c r="L17" s="21">
        <f ca="1" t="shared" si="3"/>
        <v>69</v>
      </c>
      <c r="M17" s="21">
        <f ca="1" t="shared" si="3"/>
        <v>91</v>
      </c>
      <c r="N17" s="21">
        <f ca="1" t="shared" si="3"/>
        <v>7</v>
      </c>
      <c r="O17" s="21">
        <f ca="1" t="shared" si="3"/>
        <v>88</v>
      </c>
      <c r="P17" s="21">
        <f ca="1" t="shared" si="3"/>
        <v>91</v>
      </c>
      <c r="Q17" s="21">
        <f ca="1" t="shared" si="3"/>
        <v>38</v>
      </c>
      <c r="R17" s="21">
        <f ca="1" t="shared" si="3"/>
        <v>53</v>
      </c>
      <c r="S17" s="21">
        <f ca="1" t="shared" si="3"/>
        <v>80</v>
      </c>
      <c r="T17" s="21">
        <f ca="1" t="shared" si="3"/>
        <v>84</v>
      </c>
      <c r="U17" s="21">
        <f ca="1" t="shared" si="3"/>
        <v>48</v>
      </c>
      <c r="V17" s="21">
        <f ca="1" t="shared" si="3"/>
        <v>12</v>
      </c>
      <c r="W17" s="21">
        <f ca="1" t="shared" si="3"/>
        <v>49</v>
      </c>
      <c r="X17" s="21">
        <f ca="1" t="shared" si="3"/>
        <v>57</v>
      </c>
      <c r="Y17" s="21">
        <f ca="1" t="shared" si="3"/>
        <v>94</v>
      </c>
      <c r="Z17" s="21">
        <f ca="1" t="shared" si="3"/>
        <v>9</v>
      </c>
      <c r="AA17" s="21">
        <f ca="1" t="shared" si="3"/>
        <v>39</v>
      </c>
      <c r="AB17" s="21">
        <f ca="1" t="shared" si="3"/>
        <v>87</v>
      </c>
      <c r="AC17" s="21">
        <f ca="1" t="shared" si="3"/>
        <v>65</v>
      </c>
      <c r="AD17" s="21">
        <f ca="1" t="shared" si="3"/>
        <v>26</v>
      </c>
      <c r="AE17" s="21">
        <f ca="1" t="shared" si="3"/>
        <v>18</v>
      </c>
      <c r="AF17" s="21">
        <f ca="1" t="shared" si="3"/>
        <v>97</v>
      </c>
    </row>
    <row r="18" ht="15" customHeight="1" spans="1:32">
      <c r="A18" s="20" t="s">
        <v>7</v>
      </c>
      <c r="B18" s="21">
        <f ca="1" t="shared" ref="B18:AF18" si="4">RANDBETWEEN(1,100)</f>
        <v>88</v>
      </c>
      <c r="C18" s="21">
        <f ca="1" t="shared" si="4"/>
        <v>87</v>
      </c>
      <c r="D18" s="21">
        <f ca="1" t="shared" si="4"/>
        <v>7</v>
      </c>
      <c r="E18" s="21">
        <f ca="1" t="shared" si="4"/>
        <v>55</v>
      </c>
      <c r="F18" s="21">
        <f ca="1" t="shared" si="4"/>
        <v>78</v>
      </c>
      <c r="G18" s="21">
        <f ca="1" t="shared" si="4"/>
        <v>55</v>
      </c>
      <c r="H18" s="21">
        <f ca="1" t="shared" si="4"/>
        <v>6</v>
      </c>
      <c r="I18" s="21">
        <f ca="1" t="shared" si="4"/>
        <v>78</v>
      </c>
      <c r="J18" s="21">
        <f ca="1" t="shared" si="4"/>
        <v>17</v>
      </c>
      <c r="K18" s="21">
        <f ca="1" t="shared" si="4"/>
        <v>77</v>
      </c>
      <c r="L18" s="21">
        <f ca="1" t="shared" si="4"/>
        <v>82</v>
      </c>
      <c r="M18" s="21">
        <f ca="1" t="shared" si="4"/>
        <v>81</v>
      </c>
      <c r="N18" s="21">
        <f ca="1" t="shared" si="4"/>
        <v>45</v>
      </c>
      <c r="O18" s="21">
        <f ca="1" t="shared" si="4"/>
        <v>38</v>
      </c>
      <c r="P18" s="21">
        <f ca="1" t="shared" si="4"/>
        <v>80</v>
      </c>
      <c r="Q18" s="21">
        <f ca="1" t="shared" si="4"/>
        <v>86</v>
      </c>
      <c r="R18" s="21">
        <f ca="1" t="shared" si="4"/>
        <v>22</v>
      </c>
      <c r="S18" s="21">
        <f ca="1" t="shared" si="4"/>
        <v>62</v>
      </c>
      <c r="T18" s="21">
        <f ca="1" t="shared" si="4"/>
        <v>90</v>
      </c>
      <c r="U18" s="21">
        <f ca="1" t="shared" si="4"/>
        <v>89</v>
      </c>
      <c r="V18" s="21">
        <f ca="1" t="shared" si="4"/>
        <v>46</v>
      </c>
      <c r="W18" s="21">
        <f ca="1" t="shared" si="4"/>
        <v>34</v>
      </c>
      <c r="X18" s="21">
        <f ca="1" t="shared" si="4"/>
        <v>96</v>
      </c>
      <c r="Y18" s="21">
        <f ca="1" t="shared" si="4"/>
        <v>23</v>
      </c>
      <c r="Z18" s="21">
        <f ca="1" t="shared" si="4"/>
        <v>69</v>
      </c>
      <c r="AA18" s="21">
        <f ca="1" t="shared" si="4"/>
        <v>67</v>
      </c>
      <c r="AB18" s="21">
        <f ca="1" t="shared" si="4"/>
        <v>51</v>
      </c>
      <c r="AC18" s="21">
        <f ca="1" t="shared" si="4"/>
        <v>65</v>
      </c>
      <c r="AD18" s="21">
        <f ca="1" t="shared" si="4"/>
        <v>54</v>
      </c>
      <c r="AE18" s="21">
        <f ca="1" t="shared" si="4"/>
        <v>27</v>
      </c>
      <c r="AF18" s="21">
        <f ca="1" t="shared" si="4"/>
        <v>83</v>
      </c>
    </row>
    <row r="19" ht="15" customHeight="1" spans="1:32">
      <c r="A19" s="20" t="s">
        <v>8</v>
      </c>
      <c r="B19" s="21">
        <f ca="1" t="shared" ref="B19:AF19" si="5">RANDBETWEEN(1,100)</f>
        <v>85</v>
      </c>
      <c r="C19" s="21">
        <f ca="1" t="shared" si="5"/>
        <v>15</v>
      </c>
      <c r="D19" s="21">
        <f ca="1" t="shared" si="5"/>
        <v>65</v>
      </c>
      <c r="E19" s="21">
        <f ca="1" t="shared" si="5"/>
        <v>80</v>
      </c>
      <c r="F19" s="21">
        <f ca="1" t="shared" si="5"/>
        <v>93</v>
      </c>
      <c r="G19" s="21">
        <f ca="1" t="shared" si="5"/>
        <v>46</v>
      </c>
      <c r="H19" s="21">
        <f ca="1" t="shared" si="5"/>
        <v>73</v>
      </c>
      <c r="I19" s="21">
        <f ca="1" t="shared" si="5"/>
        <v>100</v>
      </c>
      <c r="J19" s="21">
        <f ca="1" t="shared" si="5"/>
        <v>15</v>
      </c>
      <c r="K19" s="21">
        <f ca="1" t="shared" si="5"/>
        <v>82</v>
      </c>
      <c r="L19" s="21">
        <f ca="1" t="shared" si="5"/>
        <v>32</v>
      </c>
      <c r="M19" s="21">
        <f ca="1" t="shared" si="5"/>
        <v>83</v>
      </c>
      <c r="N19" s="21">
        <f ca="1" t="shared" si="5"/>
        <v>41</v>
      </c>
      <c r="O19" s="21">
        <f ca="1" t="shared" si="5"/>
        <v>28</v>
      </c>
      <c r="P19" s="21">
        <f ca="1" t="shared" si="5"/>
        <v>23</v>
      </c>
      <c r="Q19" s="21">
        <f ca="1" t="shared" si="5"/>
        <v>9</v>
      </c>
      <c r="R19" s="21">
        <f ca="1" t="shared" si="5"/>
        <v>42</v>
      </c>
      <c r="S19" s="21">
        <f ca="1" t="shared" si="5"/>
        <v>14</v>
      </c>
      <c r="T19" s="21">
        <f ca="1" t="shared" si="5"/>
        <v>100</v>
      </c>
      <c r="U19" s="21">
        <f ca="1" t="shared" si="5"/>
        <v>19</v>
      </c>
      <c r="V19" s="21">
        <f ca="1" t="shared" si="5"/>
        <v>46</v>
      </c>
      <c r="W19" s="21">
        <f ca="1" t="shared" si="5"/>
        <v>41</v>
      </c>
      <c r="X19" s="21">
        <f ca="1" t="shared" si="5"/>
        <v>61</v>
      </c>
      <c r="Y19" s="21">
        <f ca="1" t="shared" si="5"/>
        <v>41</v>
      </c>
      <c r="Z19" s="21">
        <f ca="1" t="shared" si="5"/>
        <v>88</v>
      </c>
      <c r="AA19" s="21">
        <f ca="1" t="shared" si="5"/>
        <v>17</v>
      </c>
      <c r="AB19" s="21">
        <f ca="1" t="shared" si="5"/>
        <v>79</v>
      </c>
      <c r="AC19" s="21">
        <f ca="1" t="shared" si="5"/>
        <v>10</v>
      </c>
      <c r="AD19" s="21">
        <f ca="1" t="shared" si="5"/>
        <v>10</v>
      </c>
      <c r="AE19" s="21">
        <f ca="1" t="shared" si="5"/>
        <v>49</v>
      </c>
      <c r="AF19" s="21">
        <f ca="1" t="shared" si="5"/>
        <v>62</v>
      </c>
    </row>
    <row r="20" ht="15" customHeight="1" spans="1:32">
      <c r="A20" s="20" t="s">
        <v>9</v>
      </c>
      <c r="B20" s="21">
        <f ca="1" t="shared" ref="B20:AF20" si="6">RANDBETWEEN(1,100)</f>
        <v>71</v>
      </c>
      <c r="C20" s="21">
        <f ca="1" t="shared" si="6"/>
        <v>83</v>
      </c>
      <c r="D20" s="21">
        <f ca="1" t="shared" si="6"/>
        <v>4</v>
      </c>
      <c r="E20" s="21">
        <f ca="1" t="shared" si="6"/>
        <v>51</v>
      </c>
      <c r="F20" s="21">
        <f ca="1" t="shared" si="6"/>
        <v>59</v>
      </c>
      <c r="G20" s="21">
        <f ca="1" t="shared" si="6"/>
        <v>87</v>
      </c>
      <c r="H20" s="21">
        <f ca="1" t="shared" si="6"/>
        <v>54</v>
      </c>
      <c r="I20" s="21">
        <f ca="1" t="shared" si="6"/>
        <v>52</v>
      </c>
      <c r="J20" s="21">
        <f ca="1" t="shared" si="6"/>
        <v>78</v>
      </c>
      <c r="K20" s="21">
        <f ca="1" t="shared" si="6"/>
        <v>7</v>
      </c>
      <c r="L20" s="21">
        <f ca="1" t="shared" si="6"/>
        <v>37</v>
      </c>
      <c r="M20" s="21">
        <f ca="1" t="shared" si="6"/>
        <v>17</v>
      </c>
      <c r="N20" s="21">
        <f ca="1" t="shared" si="6"/>
        <v>4</v>
      </c>
      <c r="O20" s="21">
        <f ca="1" t="shared" si="6"/>
        <v>7</v>
      </c>
      <c r="P20" s="21">
        <f ca="1" t="shared" si="6"/>
        <v>99</v>
      </c>
      <c r="Q20" s="21">
        <f ca="1" t="shared" si="6"/>
        <v>54</v>
      </c>
      <c r="R20" s="21">
        <f ca="1" t="shared" si="6"/>
        <v>94</v>
      </c>
      <c r="S20" s="21">
        <f ca="1" t="shared" si="6"/>
        <v>31</v>
      </c>
      <c r="T20" s="21">
        <f ca="1" t="shared" si="6"/>
        <v>57</v>
      </c>
      <c r="U20" s="21">
        <f ca="1" t="shared" si="6"/>
        <v>31</v>
      </c>
      <c r="V20" s="21">
        <f ca="1" t="shared" si="6"/>
        <v>67</v>
      </c>
      <c r="W20" s="21">
        <f ca="1" t="shared" si="6"/>
        <v>93</v>
      </c>
      <c r="X20" s="21">
        <f ca="1" t="shared" si="6"/>
        <v>3</v>
      </c>
      <c r="Y20" s="21">
        <f ca="1" t="shared" si="6"/>
        <v>45</v>
      </c>
      <c r="Z20" s="21">
        <f ca="1" t="shared" si="6"/>
        <v>66</v>
      </c>
      <c r="AA20" s="21">
        <f ca="1" t="shared" si="6"/>
        <v>31</v>
      </c>
      <c r="AB20" s="21">
        <f ca="1" t="shared" si="6"/>
        <v>81</v>
      </c>
      <c r="AC20" s="21">
        <f ca="1" t="shared" si="6"/>
        <v>64</v>
      </c>
      <c r="AD20" s="21">
        <f ca="1" t="shared" si="6"/>
        <v>88</v>
      </c>
      <c r="AE20" s="21">
        <f ca="1" t="shared" si="6"/>
        <v>7</v>
      </c>
      <c r="AF20" s="21">
        <f ca="1" t="shared" si="6"/>
        <v>20</v>
      </c>
    </row>
    <row r="21" ht="15" customHeight="1" spans="1:32">
      <c r="A21" s="20" t="s">
        <v>10</v>
      </c>
      <c r="B21" s="21">
        <f ca="1" t="shared" ref="B21:AF21" si="7">RANDBETWEEN(1,100)</f>
        <v>63</v>
      </c>
      <c r="C21" s="21">
        <f ca="1" t="shared" si="7"/>
        <v>52</v>
      </c>
      <c r="D21" s="21">
        <f ca="1" t="shared" si="7"/>
        <v>11</v>
      </c>
      <c r="E21" s="21">
        <f ca="1" t="shared" si="7"/>
        <v>63</v>
      </c>
      <c r="F21" s="21">
        <f ca="1" t="shared" si="7"/>
        <v>75</v>
      </c>
      <c r="G21" s="21">
        <f ca="1" t="shared" si="7"/>
        <v>12</v>
      </c>
      <c r="H21" s="21">
        <f ca="1" t="shared" si="7"/>
        <v>78</v>
      </c>
      <c r="I21" s="21">
        <f ca="1" t="shared" si="7"/>
        <v>70</v>
      </c>
      <c r="J21" s="21">
        <f ca="1" t="shared" si="7"/>
        <v>86</v>
      </c>
      <c r="K21" s="21">
        <f ca="1" t="shared" si="7"/>
        <v>5</v>
      </c>
      <c r="L21" s="21">
        <f ca="1" t="shared" si="7"/>
        <v>20</v>
      </c>
      <c r="M21" s="21">
        <f ca="1" t="shared" si="7"/>
        <v>85</v>
      </c>
      <c r="N21" s="21">
        <f ca="1" t="shared" si="7"/>
        <v>18</v>
      </c>
      <c r="O21" s="21">
        <f ca="1" t="shared" si="7"/>
        <v>39</v>
      </c>
      <c r="P21" s="21">
        <f ca="1" t="shared" si="7"/>
        <v>90</v>
      </c>
      <c r="Q21" s="21">
        <f ca="1" t="shared" si="7"/>
        <v>96</v>
      </c>
      <c r="R21" s="21">
        <f ca="1" t="shared" si="7"/>
        <v>56</v>
      </c>
      <c r="S21" s="21">
        <f ca="1" t="shared" si="7"/>
        <v>77</v>
      </c>
      <c r="T21" s="21">
        <f ca="1" t="shared" si="7"/>
        <v>11</v>
      </c>
      <c r="U21" s="21">
        <f ca="1" t="shared" si="7"/>
        <v>85</v>
      </c>
      <c r="V21" s="21">
        <f ca="1" t="shared" si="7"/>
        <v>69</v>
      </c>
      <c r="W21" s="21">
        <f ca="1" t="shared" si="7"/>
        <v>35</v>
      </c>
      <c r="X21" s="21">
        <f ca="1" t="shared" si="7"/>
        <v>85</v>
      </c>
      <c r="Y21" s="21">
        <f ca="1" t="shared" si="7"/>
        <v>70</v>
      </c>
      <c r="Z21" s="21">
        <f ca="1" t="shared" si="7"/>
        <v>17</v>
      </c>
      <c r="AA21" s="21">
        <f ca="1" t="shared" si="7"/>
        <v>27</v>
      </c>
      <c r="AB21" s="21">
        <f ca="1" t="shared" si="7"/>
        <v>4</v>
      </c>
      <c r="AC21" s="21">
        <f ca="1" t="shared" si="7"/>
        <v>82</v>
      </c>
      <c r="AD21" s="21">
        <f ca="1" t="shared" si="7"/>
        <v>20</v>
      </c>
      <c r="AE21" s="21">
        <f ca="1" t="shared" si="7"/>
        <v>72</v>
      </c>
      <c r="AF21" s="21">
        <f ca="1" t="shared" si="7"/>
        <v>59</v>
      </c>
    </row>
    <row r="22" ht="15" customHeight="1" spans="1:32">
      <c r="A22" s="20" t="s">
        <v>11</v>
      </c>
      <c r="B22" s="21">
        <f ca="1" t="shared" ref="B22:AF22" si="8">RANDBETWEEN(1,100)</f>
        <v>58</v>
      </c>
      <c r="C22" s="21">
        <f ca="1" t="shared" si="8"/>
        <v>13</v>
      </c>
      <c r="D22" s="21">
        <f ca="1" t="shared" si="8"/>
        <v>48</v>
      </c>
      <c r="E22" s="21">
        <f ca="1" t="shared" si="8"/>
        <v>92</v>
      </c>
      <c r="F22" s="21">
        <f ca="1" t="shared" si="8"/>
        <v>39</v>
      </c>
      <c r="G22" s="21">
        <f ca="1" t="shared" si="8"/>
        <v>98</v>
      </c>
      <c r="H22" s="21">
        <f ca="1" t="shared" si="8"/>
        <v>36</v>
      </c>
      <c r="I22" s="21">
        <f ca="1" t="shared" si="8"/>
        <v>58</v>
      </c>
      <c r="J22" s="21">
        <f ca="1" t="shared" si="8"/>
        <v>11</v>
      </c>
      <c r="K22" s="21">
        <f ca="1" t="shared" si="8"/>
        <v>28</v>
      </c>
      <c r="L22" s="21">
        <f ca="1" t="shared" si="8"/>
        <v>39</v>
      </c>
      <c r="M22" s="21">
        <f ca="1" t="shared" si="8"/>
        <v>69</v>
      </c>
      <c r="N22" s="21">
        <f ca="1" t="shared" si="8"/>
        <v>99</v>
      </c>
      <c r="O22" s="21">
        <f ca="1" t="shared" si="8"/>
        <v>47</v>
      </c>
      <c r="P22" s="21">
        <f ca="1" t="shared" si="8"/>
        <v>49</v>
      </c>
      <c r="Q22" s="21">
        <f ca="1" t="shared" si="8"/>
        <v>60</v>
      </c>
      <c r="R22" s="21">
        <f ca="1" t="shared" si="8"/>
        <v>43</v>
      </c>
      <c r="S22" s="21">
        <f ca="1" t="shared" si="8"/>
        <v>35</v>
      </c>
      <c r="T22" s="21">
        <f ca="1" t="shared" si="8"/>
        <v>57</v>
      </c>
      <c r="U22" s="21">
        <f ca="1" t="shared" si="8"/>
        <v>16</v>
      </c>
      <c r="V22" s="21">
        <f ca="1" t="shared" si="8"/>
        <v>14</v>
      </c>
      <c r="W22" s="21">
        <f ca="1" t="shared" si="8"/>
        <v>77</v>
      </c>
      <c r="X22" s="21">
        <f ca="1" t="shared" si="8"/>
        <v>5</v>
      </c>
      <c r="Y22" s="21">
        <f ca="1" t="shared" si="8"/>
        <v>24</v>
      </c>
      <c r="Z22" s="21">
        <f ca="1" t="shared" si="8"/>
        <v>37</v>
      </c>
      <c r="AA22" s="21">
        <f ca="1" t="shared" si="8"/>
        <v>68</v>
      </c>
      <c r="AB22" s="21">
        <f ca="1" t="shared" si="8"/>
        <v>40</v>
      </c>
      <c r="AC22" s="21">
        <f ca="1" t="shared" si="8"/>
        <v>6</v>
      </c>
      <c r="AD22" s="21">
        <f ca="1" t="shared" si="8"/>
        <v>56</v>
      </c>
      <c r="AE22" s="21">
        <f ca="1" t="shared" si="8"/>
        <v>75</v>
      </c>
      <c r="AF22" s="21">
        <f ca="1" t="shared" si="8"/>
        <v>44</v>
      </c>
    </row>
    <row r="23" ht="15" customHeight="1" spans="1:32">
      <c r="A23" s="20" t="s">
        <v>12</v>
      </c>
      <c r="B23" s="21">
        <f ca="1" t="shared" ref="B23:AF23" si="9">RANDBETWEEN(1,100)</f>
        <v>23</v>
      </c>
      <c r="C23" s="21">
        <f ca="1" t="shared" si="9"/>
        <v>87</v>
      </c>
      <c r="D23" s="21">
        <f ca="1" t="shared" si="9"/>
        <v>61</v>
      </c>
      <c r="E23" s="21">
        <f ca="1" t="shared" si="9"/>
        <v>7</v>
      </c>
      <c r="F23" s="21">
        <f ca="1" t="shared" si="9"/>
        <v>10</v>
      </c>
      <c r="G23" s="21">
        <f ca="1" t="shared" si="9"/>
        <v>74</v>
      </c>
      <c r="H23" s="21">
        <f ca="1" t="shared" si="9"/>
        <v>43</v>
      </c>
      <c r="I23" s="21">
        <f ca="1" t="shared" si="9"/>
        <v>88</v>
      </c>
      <c r="J23" s="21">
        <f ca="1" t="shared" si="9"/>
        <v>86</v>
      </c>
      <c r="K23" s="21">
        <f ca="1" t="shared" si="9"/>
        <v>18</v>
      </c>
      <c r="L23" s="21">
        <f ca="1" t="shared" si="9"/>
        <v>55</v>
      </c>
      <c r="M23" s="21">
        <f ca="1" t="shared" si="9"/>
        <v>84</v>
      </c>
      <c r="N23" s="21">
        <f ca="1" t="shared" si="9"/>
        <v>42</v>
      </c>
      <c r="O23" s="21">
        <f ca="1" t="shared" si="9"/>
        <v>62</v>
      </c>
      <c r="P23" s="21">
        <f ca="1" t="shared" si="9"/>
        <v>50</v>
      </c>
      <c r="Q23" s="21">
        <f ca="1" t="shared" si="9"/>
        <v>43</v>
      </c>
      <c r="R23" s="21">
        <f ca="1" t="shared" si="9"/>
        <v>66</v>
      </c>
      <c r="S23" s="21">
        <f ca="1" t="shared" si="9"/>
        <v>94</v>
      </c>
      <c r="T23" s="21">
        <f ca="1" t="shared" si="9"/>
        <v>1</v>
      </c>
      <c r="U23" s="21">
        <f ca="1" t="shared" si="9"/>
        <v>81</v>
      </c>
      <c r="V23" s="21">
        <f ca="1" t="shared" si="9"/>
        <v>64</v>
      </c>
      <c r="W23" s="21">
        <f ca="1" t="shared" si="9"/>
        <v>77</v>
      </c>
      <c r="X23" s="21">
        <f ca="1" t="shared" si="9"/>
        <v>27</v>
      </c>
      <c r="Y23" s="21">
        <f ca="1" t="shared" si="9"/>
        <v>1</v>
      </c>
      <c r="Z23" s="21">
        <f ca="1" t="shared" si="9"/>
        <v>24</v>
      </c>
      <c r="AA23" s="21">
        <f ca="1" t="shared" si="9"/>
        <v>78</v>
      </c>
      <c r="AB23" s="21">
        <f ca="1" t="shared" si="9"/>
        <v>50</v>
      </c>
      <c r="AC23" s="21">
        <f ca="1" t="shared" si="9"/>
        <v>97</v>
      </c>
      <c r="AD23" s="21">
        <f ca="1" t="shared" si="9"/>
        <v>67</v>
      </c>
      <c r="AE23" s="21">
        <f ca="1" t="shared" si="9"/>
        <v>100</v>
      </c>
      <c r="AF23" s="21">
        <f ca="1" t="shared" si="9"/>
        <v>68</v>
      </c>
    </row>
    <row r="24" ht="15" customHeight="1" spans="1:32">
      <c r="A24" s="20" t="s">
        <v>13</v>
      </c>
      <c r="B24" s="21">
        <f ca="1" t="shared" ref="B24:AF24" si="10">RANDBETWEEN(1,100)</f>
        <v>29</v>
      </c>
      <c r="C24" s="21">
        <f ca="1" t="shared" si="10"/>
        <v>54</v>
      </c>
      <c r="D24" s="21">
        <f ca="1" t="shared" si="10"/>
        <v>46</v>
      </c>
      <c r="E24" s="21">
        <f ca="1" t="shared" si="10"/>
        <v>25</v>
      </c>
      <c r="F24" s="21">
        <f ca="1" t="shared" si="10"/>
        <v>15</v>
      </c>
      <c r="G24" s="21">
        <f ca="1" t="shared" si="10"/>
        <v>88</v>
      </c>
      <c r="H24" s="21">
        <f ca="1" t="shared" si="10"/>
        <v>51</v>
      </c>
      <c r="I24" s="21">
        <f ca="1" t="shared" si="10"/>
        <v>83</v>
      </c>
      <c r="J24" s="21">
        <f ca="1" t="shared" si="10"/>
        <v>25</v>
      </c>
      <c r="K24" s="21">
        <f ca="1" t="shared" si="10"/>
        <v>73</v>
      </c>
      <c r="L24" s="21">
        <f ca="1" t="shared" si="10"/>
        <v>20</v>
      </c>
      <c r="M24" s="21">
        <f ca="1" t="shared" si="10"/>
        <v>14</v>
      </c>
      <c r="N24" s="21">
        <f ca="1" t="shared" si="10"/>
        <v>72</v>
      </c>
      <c r="O24" s="21">
        <f ca="1" t="shared" si="10"/>
        <v>30</v>
      </c>
      <c r="P24" s="21">
        <f ca="1" t="shared" si="10"/>
        <v>19</v>
      </c>
      <c r="Q24" s="21">
        <f ca="1" t="shared" si="10"/>
        <v>94</v>
      </c>
      <c r="R24" s="21">
        <f ca="1" t="shared" si="10"/>
        <v>22</v>
      </c>
      <c r="S24" s="21">
        <f ca="1" t="shared" si="10"/>
        <v>55</v>
      </c>
      <c r="T24" s="21">
        <f ca="1" t="shared" si="10"/>
        <v>42</v>
      </c>
      <c r="U24" s="21">
        <f ca="1" t="shared" si="10"/>
        <v>4</v>
      </c>
      <c r="V24" s="21">
        <f ca="1" t="shared" si="10"/>
        <v>83</v>
      </c>
      <c r="W24" s="21">
        <f ca="1" t="shared" si="10"/>
        <v>23</v>
      </c>
      <c r="X24" s="21">
        <f ca="1" t="shared" si="10"/>
        <v>34</v>
      </c>
      <c r="Y24" s="21">
        <f ca="1" t="shared" si="10"/>
        <v>81</v>
      </c>
      <c r="Z24" s="21">
        <f ca="1" t="shared" si="10"/>
        <v>39</v>
      </c>
      <c r="AA24" s="21">
        <f ca="1" t="shared" si="10"/>
        <v>19</v>
      </c>
      <c r="AB24" s="21">
        <f ca="1" t="shared" si="10"/>
        <v>35</v>
      </c>
      <c r="AC24" s="21">
        <f ca="1" t="shared" si="10"/>
        <v>52</v>
      </c>
      <c r="AD24" s="21">
        <f ca="1" t="shared" si="10"/>
        <v>32</v>
      </c>
      <c r="AE24" s="21">
        <f ca="1" t="shared" si="10"/>
        <v>77</v>
      </c>
      <c r="AF24" s="21">
        <f ca="1" t="shared" si="10"/>
        <v>67</v>
      </c>
    </row>
    <row r="25" ht="15" customHeight="1" spans="1:32">
      <c r="A25" s="20" t="s">
        <v>14</v>
      </c>
      <c r="B25" s="21">
        <f ca="1" t="shared" ref="B25:AF25" si="11">RANDBETWEEN(1,100)</f>
        <v>51</v>
      </c>
      <c r="C25" s="21">
        <f ca="1" t="shared" si="11"/>
        <v>65</v>
      </c>
      <c r="D25" s="21">
        <f ca="1" t="shared" si="11"/>
        <v>88</v>
      </c>
      <c r="E25" s="21">
        <f ca="1" t="shared" si="11"/>
        <v>63</v>
      </c>
      <c r="F25" s="21">
        <f ca="1" t="shared" si="11"/>
        <v>40</v>
      </c>
      <c r="G25" s="21">
        <f ca="1" t="shared" si="11"/>
        <v>43</v>
      </c>
      <c r="H25" s="21">
        <f ca="1" t="shared" si="11"/>
        <v>21</v>
      </c>
      <c r="I25" s="21">
        <f ca="1" t="shared" si="11"/>
        <v>32</v>
      </c>
      <c r="J25" s="21">
        <f ca="1" t="shared" si="11"/>
        <v>2</v>
      </c>
      <c r="K25" s="21">
        <f ca="1" t="shared" si="11"/>
        <v>64</v>
      </c>
      <c r="L25" s="21">
        <f ca="1" t="shared" si="11"/>
        <v>11</v>
      </c>
      <c r="M25" s="21">
        <f ca="1" t="shared" si="11"/>
        <v>45</v>
      </c>
      <c r="N25" s="21">
        <f ca="1" t="shared" si="11"/>
        <v>38</v>
      </c>
      <c r="O25" s="21">
        <f ca="1" t="shared" si="11"/>
        <v>68</v>
      </c>
      <c r="P25" s="21">
        <f ca="1" t="shared" si="11"/>
        <v>100</v>
      </c>
      <c r="Q25" s="21">
        <f ca="1" t="shared" si="11"/>
        <v>83</v>
      </c>
      <c r="R25" s="21">
        <f ca="1" t="shared" si="11"/>
        <v>19</v>
      </c>
      <c r="S25" s="21">
        <f ca="1" t="shared" si="11"/>
        <v>67</v>
      </c>
      <c r="T25" s="21">
        <f ca="1" t="shared" si="11"/>
        <v>55</v>
      </c>
      <c r="U25" s="21">
        <f ca="1" t="shared" si="11"/>
        <v>39</v>
      </c>
      <c r="V25" s="21">
        <f ca="1" t="shared" si="11"/>
        <v>91</v>
      </c>
      <c r="W25" s="21">
        <f ca="1" t="shared" si="11"/>
        <v>33</v>
      </c>
      <c r="X25" s="21">
        <f ca="1" t="shared" si="11"/>
        <v>93</v>
      </c>
      <c r="Y25" s="21">
        <f ca="1" t="shared" si="11"/>
        <v>54</v>
      </c>
      <c r="Z25" s="21">
        <f ca="1" t="shared" si="11"/>
        <v>98</v>
      </c>
      <c r="AA25" s="21">
        <f ca="1" t="shared" si="11"/>
        <v>30</v>
      </c>
      <c r="AB25" s="21">
        <f ca="1" t="shared" si="11"/>
        <v>64</v>
      </c>
      <c r="AC25" s="21">
        <f ca="1" t="shared" si="11"/>
        <v>50</v>
      </c>
      <c r="AD25" s="21">
        <f ca="1" t="shared" si="11"/>
        <v>26</v>
      </c>
      <c r="AE25" s="21">
        <f ca="1" t="shared" si="11"/>
        <v>72</v>
      </c>
      <c r="AF25" s="21">
        <f ca="1" t="shared" si="11"/>
        <v>87</v>
      </c>
    </row>
    <row r="26" ht="15" customHeight="1" spans="1:32">
      <c r="A26" s="20" t="s">
        <v>15</v>
      </c>
      <c r="B26" s="21">
        <f ca="1" t="shared" ref="B26:AF26" si="12">RANDBETWEEN(1,100)</f>
        <v>8</v>
      </c>
      <c r="C26" s="21">
        <f ca="1" t="shared" si="12"/>
        <v>71</v>
      </c>
      <c r="D26" s="21">
        <f ca="1" t="shared" si="12"/>
        <v>31</v>
      </c>
      <c r="E26" s="21">
        <f ca="1" t="shared" si="12"/>
        <v>86</v>
      </c>
      <c r="F26" s="21">
        <f ca="1" t="shared" si="12"/>
        <v>70</v>
      </c>
      <c r="G26" s="21">
        <f ca="1" t="shared" si="12"/>
        <v>59</v>
      </c>
      <c r="H26" s="21">
        <f ca="1" t="shared" si="12"/>
        <v>15</v>
      </c>
      <c r="I26" s="21">
        <f ca="1" t="shared" si="12"/>
        <v>36</v>
      </c>
      <c r="J26" s="21">
        <f ca="1" t="shared" si="12"/>
        <v>50</v>
      </c>
      <c r="K26" s="21">
        <f ca="1" t="shared" si="12"/>
        <v>62</v>
      </c>
      <c r="L26" s="21">
        <f ca="1" t="shared" si="12"/>
        <v>19</v>
      </c>
      <c r="M26" s="21">
        <f ca="1" t="shared" si="12"/>
        <v>82</v>
      </c>
      <c r="N26" s="21">
        <f ca="1" t="shared" si="12"/>
        <v>75</v>
      </c>
      <c r="O26" s="21">
        <f ca="1" t="shared" si="12"/>
        <v>86</v>
      </c>
      <c r="P26" s="21">
        <f ca="1" t="shared" si="12"/>
        <v>10</v>
      </c>
      <c r="Q26" s="21">
        <f ca="1" t="shared" si="12"/>
        <v>46</v>
      </c>
      <c r="R26" s="21">
        <f ca="1" t="shared" si="12"/>
        <v>45</v>
      </c>
      <c r="S26" s="21">
        <f ca="1" t="shared" si="12"/>
        <v>4</v>
      </c>
      <c r="T26" s="21">
        <f ca="1" t="shared" si="12"/>
        <v>96</v>
      </c>
      <c r="U26" s="21">
        <f ca="1" t="shared" si="12"/>
        <v>96</v>
      </c>
      <c r="V26" s="21">
        <f ca="1" t="shared" si="12"/>
        <v>76</v>
      </c>
      <c r="W26" s="21">
        <f ca="1" t="shared" si="12"/>
        <v>91</v>
      </c>
      <c r="X26" s="21">
        <f ca="1" t="shared" si="12"/>
        <v>59</v>
      </c>
      <c r="Y26" s="21">
        <f ca="1" t="shared" si="12"/>
        <v>33</v>
      </c>
      <c r="Z26" s="21">
        <f ca="1" t="shared" si="12"/>
        <v>54</v>
      </c>
      <c r="AA26" s="21">
        <f ca="1" t="shared" si="12"/>
        <v>10</v>
      </c>
      <c r="AB26" s="21">
        <f ca="1" t="shared" si="12"/>
        <v>55</v>
      </c>
      <c r="AC26" s="21">
        <f ca="1" t="shared" si="12"/>
        <v>96</v>
      </c>
      <c r="AD26" s="21">
        <f ca="1" t="shared" si="12"/>
        <v>9</v>
      </c>
      <c r="AE26" s="21">
        <f ca="1" t="shared" si="12"/>
        <v>40</v>
      </c>
      <c r="AF26" s="21">
        <f ca="1" t="shared" si="12"/>
        <v>56</v>
      </c>
    </row>
    <row r="27" ht="15" customHeight="1" spans="1:32">
      <c r="A27" s="20" t="s">
        <v>16</v>
      </c>
      <c r="B27" s="21">
        <f ca="1" t="shared" ref="B27:AF27" si="13">RANDBETWEEN(1,100)</f>
        <v>24</v>
      </c>
      <c r="C27" s="21">
        <f ca="1" t="shared" si="13"/>
        <v>72</v>
      </c>
      <c r="D27" s="21">
        <f ca="1" t="shared" si="13"/>
        <v>83</v>
      </c>
      <c r="E27" s="21">
        <f ca="1" t="shared" si="13"/>
        <v>24</v>
      </c>
      <c r="F27" s="21">
        <f ca="1" t="shared" si="13"/>
        <v>66</v>
      </c>
      <c r="G27" s="21">
        <f ca="1" t="shared" si="13"/>
        <v>39</v>
      </c>
      <c r="H27" s="21">
        <f ca="1" t="shared" si="13"/>
        <v>60</v>
      </c>
      <c r="I27" s="21">
        <f ca="1" t="shared" si="13"/>
        <v>30</v>
      </c>
      <c r="J27" s="21">
        <f ca="1" t="shared" si="13"/>
        <v>30</v>
      </c>
      <c r="K27" s="21">
        <f ca="1" t="shared" si="13"/>
        <v>84</v>
      </c>
      <c r="L27" s="21">
        <f ca="1" t="shared" si="13"/>
        <v>4</v>
      </c>
      <c r="M27" s="21">
        <f ca="1" t="shared" si="13"/>
        <v>62</v>
      </c>
      <c r="N27" s="21">
        <f ca="1" t="shared" si="13"/>
        <v>79</v>
      </c>
      <c r="O27" s="21">
        <f ca="1" t="shared" si="13"/>
        <v>60</v>
      </c>
      <c r="P27" s="21">
        <f ca="1" t="shared" si="13"/>
        <v>27</v>
      </c>
      <c r="Q27" s="21">
        <f ca="1" t="shared" si="13"/>
        <v>44</v>
      </c>
      <c r="R27" s="21">
        <f ca="1" t="shared" si="13"/>
        <v>19</v>
      </c>
      <c r="S27" s="21">
        <f ca="1" t="shared" si="13"/>
        <v>9</v>
      </c>
      <c r="T27" s="21">
        <f ca="1" t="shared" si="13"/>
        <v>53</v>
      </c>
      <c r="U27" s="21">
        <f ca="1" t="shared" si="13"/>
        <v>40</v>
      </c>
      <c r="V27" s="21">
        <f ca="1" t="shared" si="13"/>
        <v>11</v>
      </c>
      <c r="W27" s="21">
        <f ca="1" t="shared" si="13"/>
        <v>55</v>
      </c>
      <c r="X27" s="21">
        <f ca="1" t="shared" si="13"/>
        <v>56</v>
      </c>
      <c r="Y27" s="21">
        <f ca="1" t="shared" si="13"/>
        <v>15</v>
      </c>
      <c r="Z27" s="21">
        <f ca="1" t="shared" si="13"/>
        <v>73</v>
      </c>
      <c r="AA27" s="21">
        <f ca="1" t="shared" si="13"/>
        <v>65</v>
      </c>
      <c r="AB27" s="21">
        <f ca="1" t="shared" si="13"/>
        <v>70</v>
      </c>
      <c r="AC27" s="21">
        <f ca="1" t="shared" si="13"/>
        <v>20</v>
      </c>
      <c r="AD27" s="21">
        <f ca="1" t="shared" si="13"/>
        <v>4</v>
      </c>
      <c r="AE27" s="21">
        <f ca="1" t="shared" si="13"/>
        <v>72</v>
      </c>
      <c r="AF27" s="21">
        <f ca="1" t="shared" si="13"/>
        <v>99</v>
      </c>
    </row>
    <row r="28" ht="15" customHeight="1" spans="1:32">
      <c r="A28" s="20" t="s">
        <v>17</v>
      </c>
      <c r="B28" s="21">
        <f ca="1" t="shared" ref="B28:AF28" si="14">RANDBETWEEN(1,100)</f>
        <v>34</v>
      </c>
      <c r="C28" s="21">
        <f ca="1" t="shared" si="14"/>
        <v>66</v>
      </c>
      <c r="D28" s="21">
        <f ca="1" t="shared" si="14"/>
        <v>68</v>
      </c>
      <c r="E28" s="21">
        <f ca="1" t="shared" si="14"/>
        <v>16</v>
      </c>
      <c r="F28" s="21">
        <f ca="1" t="shared" si="14"/>
        <v>35</v>
      </c>
      <c r="G28" s="21">
        <f ca="1" t="shared" si="14"/>
        <v>20</v>
      </c>
      <c r="H28" s="21">
        <f ca="1" t="shared" si="14"/>
        <v>56</v>
      </c>
      <c r="I28" s="21">
        <f ca="1" t="shared" si="14"/>
        <v>38</v>
      </c>
      <c r="J28" s="21">
        <f ca="1" t="shared" si="14"/>
        <v>91</v>
      </c>
      <c r="K28" s="21">
        <f ca="1" t="shared" si="14"/>
        <v>62</v>
      </c>
      <c r="L28" s="21">
        <f ca="1" t="shared" si="14"/>
        <v>93</v>
      </c>
      <c r="M28" s="21">
        <f ca="1" t="shared" si="14"/>
        <v>91</v>
      </c>
      <c r="N28" s="21">
        <f ca="1" t="shared" si="14"/>
        <v>50</v>
      </c>
      <c r="O28" s="21">
        <f ca="1" t="shared" si="14"/>
        <v>84</v>
      </c>
      <c r="P28" s="21">
        <f ca="1" t="shared" si="14"/>
        <v>92</v>
      </c>
      <c r="Q28" s="21">
        <f ca="1" t="shared" si="14"/>
        <v>33</v>
      </c>
      <c r="R28" s="21">
        <f ca="1" t="shared" si="14"/>
        <v>46</v>
      </c>
      <c r="S28" s="21">
        <f ca="1" t="shared" si="14"/>
        <v>11</v>
      </c>
      <c r="T28" s="21">
        <f ca="1" t="shared" si="14"/>
        <v>67</v>
      </c>
      <c r="U28" s="21">
        <f ca="1" t="shared" si="14"/>
        <v>80</v>
      </c>
      <c r="V28" s="21">
        <f ca="1" t="shared" si="14"/>
        <v>94</v>
      </c>
      <c r="W28" s="21">
        <f ca="1" t="shared" si="14"/>
        <v>28</v>
      </c>
      <c r="X28" s="21">
        <f ca="1" t="shared" si="14"/>
        <v>89</v>
      </c>
      <c r="Y28" s="21">
        <f ca="1" t="shared" si="14"/>
        <v>82</v>
      </c>
      <c r="Z28" s="21">
        <f ca="1" t="shared" si="14"/>
        <v>27</v>
      </c>
      <c r="AA28" s="21">
        <f ca="1" t="shared" si="14"/>
        <v>60</v>
      </c>
      <c r="AB28" s="21">
        <f ca="1" t="shared" si="14"/>
        <v>92</v>
      </c>
      <c r="AC28" s="21">
        <f ca="1" t="shared" si="14"/>
        <v>80</v>
      </c>
      <c r="AD28" s="21">
        <f ca="1" t="shared" si="14"/>
        <v>15</v>
      </c>
      <c r="AE28" s="21">
        <f ca="1" t="shared" si="14"/>
        <v>3</v>
      </c>
      <c r="AF28" s="21">
        <f ca="1" t="shared" si="14"/>
        <v>21</v>
      </c>
    </row>
    <row r="29" ht="15" customHeight="1" spans="1:32">
      <c r="A29" s="20" t="s">
        <v>18</v>
      </c>
      <c r="B29" s="21">
        <f ca="1">RANDBETWEEN(100,500)</f>
        <v>240</v>
      </c>
      <c r="C29" s="21">
        <f ca="1" t="shared" ref="B29:AF29" si="15">RANDBETWEEN(150,500)</f>
        <v>291</v>
      </c>
      <c r="D29" s="21">
        <f ca="1" t="shared" si="15"/>
        <v>398</v>
      </c>
      <c r="E29" s="21">
        <f ca="1" t="shared" si="15"/>
        <v>235</v>
      </c>
      <c r="F29" s="21">
        <f ca="1" t="shared" si="15"/>
        <v>257</v>
      </c>
      <c r="G29" s="21">
        <f ca="1" t="shared" si="15"/>
        <v>294</v>
      </c>
      <c r="H29" s="21">
        <f ca="1" t="shared" si="15"/>
        <v>387</v>
      </c>
      <c r="I29" s="21">
        <f ca="1" t="shared" si="15"/>
        <v>457</v>
      </c>
      <c r="J29" s="21">
        <f ca="1" t="shared" si="15"/>
        <v>294</v>
      </c>
      <c r="K29" s="21">
        <f ca="1" t="shared" si="15"/>
        <v>324</v>
      </c>
      <c r="L29" s="21">
        <f ca="1" t="shared" si="15"/>
        <v>298</v>
      </c>
      <c r="M29" s="21">
        <f ca="1" t="shared" si="15"/>
        <v>367</v>
      </c>
      <c r="N29" s="21">
        <f ca="1" t="shared" si="15"/>
        <v>375</v>
      </c>
      <c r="O29" s="21">
        <f ca="1" t="shared" si="15"/>
        <v>289</v>
      </c>
      <c r="P29" s="21">
        <f ca="1" t="shared" si="15"/>
        <v>494</v>
      </c>
      <c r="Q29" s="21">
        <f ca="1" t="shared" si="15"/>
        <v>178</v>
      </c>
      <c r="R29" s="21">
        <f ca="1" t="shared" si="15"/>
        <v>420</v>
      </c>
      <c r="S29" s="21">
        <f ca="1" t="shared" si="15"/>
        <v>457</v>
      </c>
      <c r="T29" s="21">
        <f ca="1" t="shared" si="15"/>
        <v>449</v>
      </c>
      <c r="U29" s="21">
        <f ca="1" t="shared" si="15"/>
        <v>371</v>
      </c>
      <c r="V29" s="21">
        <f ca="1" t="shared" si="15"/>
        <v>338</v>
      </c>
      <c r="W29" s="21">
        <f ca="1" t="shared" si="15"/>
        <v>295</v>
      </c>
      <c r="X29" s="21">
        <f ca="1" t="shared" si="15"/>
        <v>366</v>
      </c>
      <c r="Y29" s="21">
        <f ca="1" t="shared" si="15"/>
        <v>439</v>
      </c>
      <c r="Z29" s="21">
        <f ca="1" t="shared" si="15"/>
        <v>414</v>
      </c>
      <c r="AA29" s="21">
        <f ca="1" t="shared" si="15"/>
        <v>256</v>
      </c>
      <c r="AB29" s="21">
        <f ca="1" t="shared" si="15"/>
        <v>167</v>
      </c>
      <c r="AC29" s="21">
        <f ca="1" t="shared" si="15"/>
        <v>388</v>
      </c>
      <c r="AD29" s="21">
        <f ca="1" t="shared" si="15"/>
        <v>224</v>
      </c>
      <c r="AE29" s="21">
        <f ca="1" t="shared" si="15"/>
        <v>415</v>
      </c>
      <c r="AF29" s="21">
        <f ca="1" t="shared" si="15"/>
        <v>170</v>
      </c>
    </row>
    <row r="30" ht="15" customHeight="1" spans="1:32">
      <c r="A30" s="18" t="s">
        <v>19</v>
      </c>
      <c r="B30" s="21">
        <f ca="1" t="shared" ref="B30:AF30" si="16">SUM(B14:B29)</f>
        <v>945</v>
      </c>
      <c r="C30" s="21">
        <f ca="1" t="shared" si="16"/>
        <v>1114</v>
      </c>
      <c r="D30" s="21">
        <f ca="1" t="shared" si="16"/>
        <v>1090</v>
      </c>
      <c r="E30" s="21">
        <f ca="1" t="shared" si="16"/>
        <v>1003</v>
      </c>
      <c r="F30" s="21">
        <f ca="1" t="shared" si="16"/>
        <v>997</v>
      </c>
      <c r="G30" s="21">
        <f ca="1" t="shared" si="16"/>
        <v>1127</v>
      </c>
      <c r="H30" s="21">
        <f ca="1" t="shared" si="16"/>
        <v>974</v>
      </c>
      <c r="I30" s="21">
        <f ca="1" t="shared" si="16"/>
        <v>1354</v>
      </c>
      <c r="J30" s="21">
        <f ca="1" t="shared" si="16"/>
        <v>1032</v>
      </c>
      <c r="K30" s="21">
        <f ca="1" t="shared" si="16"/>
        <v>1076</v>
      </c>
      <c r="L30" s="21">
        <f ca="1" t="shared" si="16"/>
        <v>918</v>
      </c>
      <c r="M30" s="21">
        <f ca="1" t="shared" si="16"/>
        <v>1219</v>
      </c>
      <c r="N30" s="21">
        <f ca="1" t="shared" si="16"/>
        <v>1074</v>
      </c>
      <c r="O30" s="21">
        <f ca="1" t="shared" si="16"/>
        <v>1159</v>
      </c>
      <c r="P30" s="21">
        <f ca="1" t="shared" si="16"/>
        <v>1421</v>
      </c>
      <c r="Q30" s="21">
        <f ca="1" t="shared" si="16"/>
        <v>1004</v>
      </c>
      <c r="R30" s="21">
        <f ca="1" t="shared" si="16"/>
        <v>1171</v>
      </c>
      <c r="S30" s="21">
        <f ca="1" t="shared" si="16"/>
        <v>1140</v>
      </c>
      <c r="T30" s="21">
        <f ca="1" t="shared" si="16"/>
        <v>1324</v>
      </c>
      <c r="U30" s="21">
        <f ca="1" t="shared" si="16"/>
        <v>1094</v>
      </c>
      <c r="V30" s="21">
        <f ca="1" t="shared" si="16"/>
        <v>1061</v>
      </c>
      <c r="W30" s="21">
        <f ca="1" t="shared" si="16"/>
        <v>1018</v>
      </c>
      <c r="X30" s="21">
        <f ca="1" t="shared" si="16"/>
        <v>1167</v>
      </c>
      <c r="Y30" s="21">
        <f ca="1" t="shared" si="16"/>
        <v>1168</v>
      </c>
      <c r="Z30" s="21">
        <f ca="1" t="shared" si="16"/>
        <v>1146</v>
      </c>
      <c r="AA30" s="21">
        <f ca="1" t="shared" si="16"/>
        <v>926</v>
      </c>
      <c r="AB30" s="21">
        <f ca="1" t="shared" si="16"/>
        <v>1099</v>
      </c>
      <c r="AC30" s="21">
        <f ca="1" t="shared" si="16"/>
        <v>1219</v>
      </c>
      <c r="AD30" s="21">
        <f ca="1" t="shared" si="16"/>
        <v>787</v>
      </c>
      <c r="AE30" s="21">
        <f ca="1" t="shared" si="16"/>
        <v>1183</v>
      </c>
      <c r="AF30" s="21">
        <f ca="1" t="shared" si="16"/>
        <v>1082</v>
      </c>
    </row>
    <row r="32" spans="1:10">
      <c r="A32" s="18" t="s">
        <v>20</v>
      </c>
      <c r="B32" s="18" t="s">
        <v>21</v>
      </c>
      <c r="C32" s="18" t="s">
        <v>22</v>
      </c>
      <c r="D32" s="22" t="s">
        <v>23</v>
      </c>
      <c r="E32" s="23"/>
      <c r="G32" s="18" t="s">
        <v>24</v>
      </c>
      <c r="H32" s="18" t="s">
        <v>25</v>
      </c>
      <c r="I32" s="18" t="s">
        <v>26</v>
      </c>
      <c r="J32" s="18" t="s">
        <v>27</v>
      </c>
    </row>
    <row r="33" spans="1:10">
      <c r="A33" s="21">
        <f ca="1">INT(SUM(B35:AF35)/COUNT(B35:AF35))</f>
        <v>1099</v>
      </c>
      <c r="B33" s="21">
        <f ca="1">MIN(B35:AF35)</f>
        <v>787</v>
      </c>
      <c r="C33" s="21">
        <f ca="1">MAX(B35:AF35)</f>
        <v>1421</v>
      </c>
      <c r="D33" s="24">
        <f ca="1">SMALL(B35:AF35,3)</f>
        <v>926</v>
      </c>
      <c r="E33" s="25"/>
      <c r="G33" s="21">
        <f ca="1">SUM(B30:K30)</f>
        <v>10712</v>
      </c>
      <c r="H33" s="21">
        <f ca="1">SUM(L30:U30)</f>
        <v>11524</v>
      </c>
      <c r="I33" s="21">
        <f ca="1">SUM(V30:AF30)</f>
        <v>11856</v>
      </c>
      <c r="J33" s="21">
        <f ca="1">SUM(30:30)</f>
        <v>34092</v>
      </c>
    </row>
    <row r="35" spans="1:32">
      <c r="A35" s="18" t="s">
        <v>28</v>
      </c>
      <c r="B35" s="21">
        <f ca="1" t="shared" ref="B35:AF35" si="17">B30</f>
        <v>945</v>
      </c>
      <c r="C35" s="21">
        <f ca="1" t="shared" si="17"/>
        <v>1114</v>
      </c>
      <c r="D35" s="21">
        <f ca="1" t="shared" si="17"/>
        <v>1090</v>
      </c>
      <c r="E35" s="21">
        <f ca="1" t="shared" si="17"/>
        <v>1003</v>
      </c>
      <c r="F35" s="21">
        <f ca="1" t="shared" si="17"/>
        <v>997</v>
      </c>
      <c r="G35" s="21">
        <f ca="1" t="shared" si="17"/>
        <v>1127</v>
      </c>
      <c r="H35" s="21">
        <f ca="1" t="shared" si="17"/>
        <v>974</v>
      </c>
      <c r="I35" s="21">
        <f ca="1" t="shared" si="17"/>
        <v>1354</v>
      </c>
      <c r="J35" s="21">
        <f ca="1" t="shared" si="17"/>
        <v>1032</v>
      </c>
      <c r="K35" s="21">
        <f ca="1" t="shared" si="17"/>
        <v>1076</v>
      </c>
      <c r="L35" s="21">
        <f ca="1" t="shared" si="17"/>
        <v>918</v>
      </c>
      <c r="M35" s="21">
        <f ca="1" t="shared" si="17"/>
        <v>1219</v>
      </c>
      <c r="N35" s="21">
        <f ca="1" t="shared" si="17"/>
        <v>1074</v>
      </c>
      <c r="O35" s="21">
        <f ca="1" t="shared" si="17"/>
        <v>1159</v>
      </c>
      <c r="P35" s="21">
        <f ca="1" t="shared" si="17"/>
        <v>1421</v>
      </c>
      <c r="Q35" s="21">
        <f ca="1" t="shared" si="17"/>
        <v>1004</v>
      </c>
      <c r="R35" s="21">
        <f ca="1" t="shared" si="17"/>
        <v>1171</v>
      </c>
      <c r="S35" s="21">
        <f ca="1" t="shared" si="17"/>
        <v>1140</v>
      </c>
      <c r="T35" s="21">
        <f ca="1" t="shared" si="17"/>
        <v>1324</v>
      </c>
      <c r="U35" s="21">
        <f ca="1" t="shared" si="17"/>
        <v>1094</v>
      </c>
      <c r="V35" s="21">
        <f ca="1" t="shared" si="17"/>
        <v>1061</v>
      </c>
      <c r="W35" s="21">
        <f ca="1" t="shared" si="17"/>
        <v>1018</v>
      </c>
      <c r="X35" s="21">
        <f ca="1" t="shared" si="17"/>
        <v>1167</v>
      </c>
      <c r="Y35" s="21">
        <f ca="1" t="shared" si="17"/>
        <v>1168</v>
      </c>
      <c r="Z35" s="21">
        <f ca="1" t="shared" si="17"/>
        <v>1146</v>
      </c>
      <c r="AA35" s="21">
        <f ca="1" t="shared" si="17"/>
        <v>926</v>
      </c>
      <c r="AB35" s="21">
        <f ca="1" t="shared" si="17"/>
        <v>1099</v>
      </c>
      <c r="AC35" s="21">
        <f ca="1" t="shared" si="17"/>
        <v>1219</v>
      </c>
      <c r="AD35" s="21">
        <f ca="1" t="shared" si="17"/>
        <v>787</v>
      </c>
      <c r="AE35" s="21">
        <f ca="1" t="shared" si="17"/>
        <v>1183</v>
      </c>
      <c r="AF35" s="21">
        <f ca="1" t="shared" si="17"/>
        <v>1082</v>
      </c>
    </row>
    <row r="36" spans="1:32">
      <c r="A36" s="18" t="s">
        <v>29</v>
      </c>
      <c r="B36" s="21">
        <f ca="1">INT(SUM(B35:AF35)/COUNT(B35:AF35))</f>
        <v>1099</v>
      </c>
      <c r="C36" s="21">
        <f ca="1">INT(SUM(B35:AF35)/COUNT(B35:AF35))</f>
        <v>1099</v>
      </c>
      <c r="D36" s="21">
        <f ca="1">INT(SUM(B35:AF35)/COUNT(B35:AF35))</f>
        <v>1099</v>
      </c>
      <c r="E36" s="21">
        <f ca="1">INT(SUM(B35:AF35)/COUNT(B35:AF35))</f>
        <v>1099</v>
      </c>
      <c r="F36" s="21">
        <f ca="1">INT(SUM(B35:AF35)/COUNT(B35:AF35))</f>
        <v>1099</v>
      </c>
      <c r="G36" s="21">
        <f ca="1">INT(SUM(B35:AF35)/COUNT(B35:AF35))</f>
        <v>1099</v>
      </c>
      <c r="H36" s="21">
        <f ca="1">INT(SUM(B35:AF35)/COUNT(B35:AF35))</f>
        <v>1099</v>
      </c>
      <c r="I36" s="21">
        <f ca="1">INT(SUM(B35:AF35)/COUNT(B35:AF35))</f>
        <v>1099</v>
      </c>
      <c r="J36" s="21">
        <f ca="1">INT(SUM(B35:AF35)/COUNT(B35:AF35))</f>
        <v>1099</v>
      </c>
      <c r="K36" s="21">
        <f ca="1">INT(SUM(B35:AF35)/COUNT(B35:AF35))</f>
        <v>1099</v>
      </c>
      <c r="L36" s="21">
        <f ca="1">INT(SUM(B35:AF35)/COUNT(B35:AF35))</f>
        <v>1099</v>
      </c>
      <c r="M36" s="21">
        <f ca="1">INT(SUM(B35:AF35)/COUNT(B35:AF35))</f>
        <v>1099</v>
      </c>
      <c r="N36" s="21">
        <f ca="1">INT(SUM(B35:AF35)/COUNT(B35:AF35))</f>
        <v>1099</v>
      </c>
      <c r="O36" s="21">
        <f ca="1">INT(SUM(B35:AF35)/COUNT(B35:AF35))</f>
        <v>1099</v>
      </c>
      <c r="P36" s="21">
        <f ca="1">INT(SUM(B35:AF35)/COUNT(B35:AF35))</f>
        <v>1099</v>
      </c>
      <c r="Q36" s="21">
        <f ca="1">INT(SUM(B35:AF35)/COUNT(B35:AF35))</f>
        <v>1099</v>
      </c>
      <c r="R36" s="21">
        <f ca="1">INT(SUM(B35:AF35)/COUNT(B35:AF35))</f>
        <v>1099</v>
      </c>
      <c r="S36" s="21">
        <f ca="1">INT(SUM(B35:AF35)/COUNT(B35:AF35))</f>
        <v>1099</v>
      </c>
      <c r="T36" s="21">
        <f ca="1">INT(SUM(B35:AF35)/COUNT(B35:AF35))</f>
        <v>1099</v>
      </c>
      <c r="U36" s="21">
        <f ca="1">INT(SUM(B35:AF35)/COUNT(B35:AF35))</f>
        <v>1099</v>
      </c>
      <c r="V36" s="21">
        <f ca="1">INT(SUM(B35:AF35)/COUNT(B35:AF35))</f>
        <v>1099</v>
      </c>
      <c r="W36" s="21">
        <f ca="1">INT(SUM(B35:AF35)/COUNT(B35:AF35))</f>
        <v>1099</v>
      </c>
      <c r="X36" s="21">
        <f ca="1">INT(SUM(B35:AF35)/COUNT(B35:AF35))</f>
        <v>1099</v>
      </c>
      <c r="Y36" s="21">
        <f ca="1">INT(SUM(B35:AF35)/COUNT(B35:AF35))</f>
        <v>1099</v>
      </c>
      <c r="Z36" s="21">
        <f ca="1">INT(SUM(B35:AF35)/COUNT(B35:AF35))</f>
        <v>1099</v>
      </c>
      <c r="AA36" s="21">
        <f ca="1">INT(SUM(B35:AF35)/COUNT(B35:AF35))</f>
        <v>1099</v>
      </c>
      <c r="AB36" s="21">
        <f ca="1">INT(SUM(B35:AF35)/COUNT(B35:AF35))</f>
        <v>1099</v>
      </c>
      <c r="AC36" s="21">
        <f ca="1">INT(SUM(B35:AF35)/COUNT(B35:AF35))</f>
        <v>1099</v>
      </c>
      <c r="AD36" s="21">
        <f ca="1">INT(SUM(B35:AF35)/COUNT(B35:AF35))</f>
        <v>1099</v>
      </c>
      <c r="AE36" s="21">
        <f ca="1">INT(SUM(B35:AF35)/COUNT(B35:AF35))</f>
        <v>1099</v>
      </c>
      <c r="AF36" s="21">
        <f ca="1">INT(SUM(B35:AF35)/COUNT(B35:AF35))</f>
        <v>1099</v>
      </c>
    </row>
    <row r="37" spans="1:32">
      <c r="A37" s="18" t="s">
        <v>30</v>
      </c>
      <c r="B37" s="21" t="e">
        <f ca="1" t="shared" ref="B37:AF37" si="18">IF(B35&gt;B36,B35,NA())</f>
        <v>#N/A</v>
      </c>
      <c r="C37" s="21">
        <f ca="1" t="shared" si="18"/>
        <v>1114</v>
      </c>
      <c r="D37" s="21" t="e">
        <f ca="1" t="shared" si="18"/>
        <v>#N/A</v>
      </c>
      <c r="E37" s="21" t="e">
        <f ca="1" t="shared" si="18"/>
        <v>#N/A</v>
      </c>
      <c r="F37" s="21" t="e">
        <f ca="1" t="shared" si="18"/>
        <v>#N/A</v>
      </c>
      <c r="G37" s="21">
        <f ca="1" t="shared" si="18"/>
        <v>1127</v>
      </c>
      <c r="H37" s="21" t="e">
        <f ca="1" t="shared" si="18"/>
        <v>#N/A</v>
      </c>
      <c r="I37" s="21">
        <f ca="1" t="shared" si="18"/>
        <v>1354</v>
      </c>
      <c r="J37" s="21" t="e">
        <f ca="1" t="shared" si="18"/>
        <v>#N/A</v>
      </c>
      <c r="K37" s="21" t="e">
        <f ca="1" t="shared" si="18"/>
        <v>#N/A</v>
      </c>
      <c r="L37" s="21" t="e">
        <f ca="1" t="shared" si="18"/>
        <v>#N/A</v>
      </c>
      <c r="M37" s="21">
        <f ca="1" t="shared" si="18"/>
        <v>1219</v>
      </c>
      <c r="N37" s="21" t="e">
        <f ca="1" t="shared" si="18"/>
        <v>#N/A</v>
      </c>
      <c r="O37" s="21">
        <f ca="1" t="shared" si="18"/>
        <v>1159</v>
      </c>
      <c r="P37" s="21">
        <f ca="1" t="shared" si="18"/>
        <v>1421</v>
      </c>
      <c r="Q37" s="21" t="e">
        <f ca="1" t="shared" si="18"/>
        <v>#N/A</v>
      </c>
      <c r="R37" s="21">
        <f ca="1" t="shared" si="18"/>
        <v>1171</v>
      </c>
      <c r="S37" s="21">
        <f ca="1" t="shared" si="18"/>
        <v>1140</v>
      </c>
      <c r="T37" s="21">
        <f ca="1" t="shared" si="18"/>
        <v>1324</v>
      </c>
      <c r="U37" s="21" t="e">
        <f ca="1" t="shared" si="18"/>
        <v>#N/A</v>
      </c>
      <c r="V37" s="21" t="e">
        <f ca="1" t="shared" si="18"/>
        <v>#N/A</v>
      </c>
      <c r="W37" s="21" t="e">
        <f ca="1" t="shared" si="18"/>
        <v>#N/A</v>
      </c>
      <c r="X37" s="21">
        <f ca="1" t="shared" si="18"/>
        <v>1167</v>
      </c>
      <c r="Y37" s="21">
        <f ca="1" t="shared" si="18"/>
        <v>1168</v>
      </c>
      <c r="Z37" s="21">
        <f ca="1" t="shared" si="18"/>
        <v>1146</v>
      </c>
      <c r="AA37" s="21" t="e">
        <f ca="1" t="shared" si="18"/>
        <v>#N/A</v>
      </c>
      <c r="AB37" s="21" t="e">
        <f ca="1" t="shared" si="18"/>
        <v>#N/A</v>
      </c>
      <c r="AC37" s="21">
        <f ca="1" t="shared" si="18"/>
        <v>1219</v>
      </c>
      <c r="AD37" s="21" t="e">
        <f ca="1" t="shared" si="18"/>
        <v>#N/A</v>
      </c>
      <c r="AE37" s="21">
        <f ca="1" t="shared" si="18"/>
        <v>1183</v>
      </c>
      <c r="AF37" s="21" t="e">
        <f ca="1" t="shared" si="18"/>
        <v>#N/A</v>
      </c>
    </row>
    <row r="38" spans="1:32">
      <c r="A38" s="18" t="s">
        <v>31</v>
      </c>
      <c r="B38" s="21">
        <f ca="1" t="shared" ref="B38:AF38" si="19">IF(B35&lt;D33,B35,IF(B35&lt;B36,B35,NA()))</f>
        <v>945</v>
      </c>
      <c r="C38" s="21" t="e">
        <f ca="1" t="shared" si="19"/>
        <v>#N/A</v>
      </c>
      <c r="D38" s="21">
        <f ca="1">IF(D35&lt;J33,D35,IF(D35&lt;D36,D35,NA()))</f>
        <v>1090</v>
      </c>
      <c r="E38" s="21">
        <f ca="1" t="shared" si="19"/>
        <v>1003</v>
      </c>
      <c r="F38" s="21">
        <f ca="1" t="shared" si="19"/>
        <v>997</v>
      </c>
      <c r="G38" s="21">
        <f ca="1" t="shared" si="19"/>
        <v>1127</v>
      </c>
      <c r="H38" s="21" t="e">
        <f ca="1">IF(H35&lt;#REF!,H35,IF(H35&lt;H36,H35,NA()))</f>
        <v>#REF!</v>
      </c>
      <c r="I38" s="21" t="e">
        <f ca="1" t="shared" si="19"/>
        <v>#N/A</v>
      </c>
      <c r="J38" s="21">
        <f ca="1" t="shared" si="19"/>
        <v>1032</v>
      </c>
      <c r="K38" s="21">
        <f ca="1" t="shared" si="19"/>
        <v>1076</v>
      </c>
      <c r="L38" s="21">
        <f ca="1" t="shared" si="19"/>
        <v>918</v>
      </c>
      <c r="M38" s="21" t="e">
        <f ca="1" t="shared" si="19"/>
        <v>#N/A</v>
      </c>
      <c r="N38" s="21">
        <f ca="1" t="shared" si="19"/>
        <v>1074</v>
      </c>
      <c r="O38" s="21" t="e">
        <f ca="1" t="shared" si="19"/>
        <v>#N/A</v>
      </c>
      <c r="P38" s="21" t="e">
        <f ca="1" t="shared" si="19"/>
        <v>#N/A</v>
      </c>
      <c r="Q38" s="21">
        <f ca="1" t="shared" si="19"/>
        <v>1004</v>
      </c>
      <c r="R38" s="21" t="e">
        <f ca="1" t="shared" si="19"/>
        <v>#N/A</v>
      </c>
      <c r="S38" s="21" t="e">
        <f ca="1" t="shared" si="19"/>
        <v>#N/A</v>
      </c>
      <c r="T38" s="21" t="e">
        <f ca="1" t="shared" si="19"/>
        <v>#N/A</v>
      </c>
      <c r="U38" s="21">
        <f ca="1" t="shared" si="19"/>
        <v>1094</v>
      </c>
      <c r="V38" s="21">
        <f ca="1" t="shared" si="19"/>
        <v>1061</v>
      </c>
      <c r="W38" s="21">
        <f ca="1" t="shared" si="19"/>
        <v>1018</v>
      </c>
      <c r="X38" s="21" t="e">
        <f ca="1" t="shared" si="19"/>
        <v>#N/A</v>
      </c>
      <c r="Y38" s="21" t="e">
        <f ca="1" t="shared" si="19"/>
        <v>#N/A</v>
      </c>
      <c r="Z38" s="21" t="e">
        <f ca="1" t="shared" si="19"/>
        <v>#N/A</v>
      </c>
      <c r="AA38" s="21">
        <f ca="1" t="shared" si="19"/>
        <v>926</v>
      </c>
      <c r="AB38" s="21" t="e">
        <f ca="1" t="shared" si="19"/>
        <v>#N/A</v>
      </c>
      <c r="AC38" s="21" t="e">
        <f ca="1" t="shared" si="19"/>
        <v>#N/A</v>
      </c>
      <c r="AD38" s="21">
        <f ca="1" t="shared" si="19"/>
        <v>787</v>
      </c>
      <c r="AE38" s="21" t="e">
        <f ca="1" t="shared" si="19"/>
        <v>#N/A</v>
      </c>
      <c r="AF38" s="21">
        <f ca="1" t="shared" si="19"/>
        <v>1082</v>
      </c>
    </row>
    <row r="40" spans="1:8">
      <c r="A40" s="18"/>
      <c r="B40" s="18" t="s">
        <v>32</v>
      </c>
      <c r="C40" s="18" t="e">
        <f t="shared" ref="C40:G40" si="20">NA()</f>
        <v>#N/A</v>
      </c>
      <c r="D40" s="18" t="s">
        <v>33</v>
      </c>
      <c r="E40" s="18" t="e">
        <f t="shared" si="20"/>
        <v>#N/A</v>
      </c>
      <c r="F40" s="18" t="s">
        <v>34</v>
      </c>
      <c r="G40" s="18" t="e">
        <f t="shared" si="20"/>
        <v>#N/A</v>
      </c>
      <c r="H40" s="18" t="s">
        <v>35</v>
      </c>
    </row>
    <row r="41" spans="1:32">
      <c r="A41" s="18" t="s">
        <v>36</v>
      </c>
      <c r="B41" s="26">
        <f ca="1">SUM(LARGE(B35:AF35,{1,2,3,4,5}))/J33*100%</f>
        <v>0.191745864132348</v>
      </c>
      <c r="C41" s="27" t="e">
        <f t="shared" ref="C41:G41" si="21">NA()</f>
        <v>#N/A</v>
      </c>
      <c r="D41" s="27">
        <f ca="1">SUM(LARGE(B35:AF35,{1,2,3,4,5,6,7,8,9,10}))/J33*100%</f>
        <v>0.363281708318667</v>
      </c>
      <c r="E41" s="27" t="e">
        <f t="shared" si="21"/>
        <v>#N/A</v>
      </c>
      <c r="F41" s="27">
        <f ca="1">SUM(SMALL(B35:AF35,1),SMALL(B35:AF35,2),SMALL(B35:AF35,3),SMALL(B35:AF35,4),SMALL(B35:AF35,5),SMALL(B35:AF35,6),SMALL(B35:AF35,7),SMALL(B35:AF35,8),SMALL(B35:AF35,9),SMALL(B35:AF35,10))/J33*100%</f>
        <v>0.281708318667136</v>
      </c>
      <c r="G41" s="27" t="e">
        <f t="shared" si="21"/>
        <v>#N/A</v>
      </c>
      <c r="H41" s="27">
        <f ca="1">SUM(SMALL(B35:AF35,1),SMALL(B35:AF35,2),SMALL(B35:AF35,3),SMALL(B35:AF35,4),SMALL(B35:AF35,5))/J33*100%</f>
        <v>0.133462395869999</v>
      </c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</row>
    <row r="42" spans="2:32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</row>
    <row r="43" spans="2:26">
      <c r="B43" s="29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5"/>
      <c r="S43" s="36"/>
      <c r="T43" s="37"/>
      <c r="U43" s="37"/>
      <c r="V43" s="37"/>
      <c r="W43" s="37"/>
      <c r="X43" s="37"/>
      <c r="Y43" s="37"/>
      <c r="Z43" s="43"/>
    </row>
    <row r="44" spans="2:26">
      <c r="B44" s="31"/>
      <c r="R44" s="38"/>
      <c r="S44" s="39"/>
      <c r="T44" s="40"/>
      <c r="U44" s="40"/>
      <c r="V44" s="40"/>
      <c r="W44" s="40"/>
      <c r="X44" s="40"/>
      <c r="Y44" s="40"/>
      <c r="Z44" s="44"/>
    </row>
    <row r="45" spans="2:26">
      <c r="B45" s="31"/>
      <c r="R45" s="38"/>
      <c r="S45" s="39"/>
      <c r="T45" s="40"/>
      <c r="U45" s="40"/>
      <c r="V45" s="40"/>
      <c r="W45" s="40"/>
      <c r="X45" s="40"/>
      <c r="Y45" s="40"/>
      <c r="Z45" s="44"/>
    </row>
    <row r="46" spans="2:26">
      <c r="B46" s="31"/>
      <c r="R46" s="38"/>
      <c r="S46" s="39"/>
      <c r="T46" s="40"/>
      <c r="U46" s="40"/>
      <c r="V46" s="40"/>
      <c r="W46" s="40"/>
      <c r="X46" s="40"/>
      <c r="Y46" s="40"/>
      <c r="Z46" s="44"/>
    </row>
    <row r="47" spans="2:26">
      <c r="B47" s="31"/>
      <c r="R47" s="38"/>
      <c r="S47" s="39"/>
      <c r="T47" s="40"/>
      <c r="U47" s="40"/>
      <c r="V47" s="40"/>
      <c r="W47" s="40"/>
      <c r="X47" s="40"/>
      <c r="Y47" s="40"/>
      <c r="Z47" s="44"/>
    </row>
    <row r="48" spans="2:26">
      <c r="B48" s="31"/>
      <c r="R48" s="38"/>
      <c r="S48" s="39"/>
      <c r="T48" s="40"/>
      <c r="U48" s="40"/>
      <c r="V48" s="40"/>
      <c r="W48" s="40"/>
      <c r="X48" s="40"/>
      <c r="Y48" s="40"/>
      <c r="Z48" s="44"/>
    </row>
    <row r="49" spans="2:26">
      <c r="B49" s="31"/>
      <c r="R49" s="38"/>
      <c r="S49" s="39"/>
      <c r="T49" s="40"/>
      <c r="U49" s="40"/>
      <c r="V49" s="40"/>
      <c r="W49" s="40"/>
      <c r="X49" s="40"/>
      <c r="Y49" s="40"/>
      <c r="Z49" s="44"/>
    </row>
    <row r="50" spans="2:26">
      <c r="B50" s="31"/>
      <c r="R50" s="38"/>
      <c r="S50" s="39"/>
      <c r="T50" s="40"/>
      <c r="U50" s="40"/>
      <c r="V50" s="40"/>
      <c r="W50" s="40"/>
      <c r="X50" s="40"/>
      <c r="Y50" s="40"/>
      <c r="Z50" s="44"/>
    </row>
    <row r="51" spans="2:26">
      <c r="B51" s="31"/>
      <c r="R51" s="38"/>
      <c r="S51" s="39"/>
      <c r="T51" s="40"/>
      <c r="U51" s="40"/>
      <c r="V51" s="40"/>
      <c r="W51" s="40"/>
      <c r="X51" s="40"/>
      <c r="Y51" s="40"/>
      <c r="Z51" s="44"/>
    </row>
    <row r="52" spans="2:26">
      <c r="B52" s="31"/>
      <c r="R52" s="38"/>
      <c r="S52" s="39"/>
      <c r="T52" s="40"/>
      <c r="U52" s="40"/>
      <c r="V52" s="40"/>
      <c r="W52" s="40"/>
      <c r="X52" s="40"/>
      <c r="Y52" s="40"/>
      <c r="Z52" s="44"/>
    </row>
    <row r="53" spans="2:26">
      <c r="B53" s="31"/>
      <c r="R53" s="38"/>
      <c r="S53" s="39"/>
      <c r="T53" s="40"/>
      <c r="U53" s="40"/>
      <c r="V53" s="40"/>
      <c r="W53" s="40"/>
      <c r="X53" s="40"/>
      <c r="Y53" s="40"/>
      <c r="Z53" s="44"/>
    </row>
    <row r="54" spans="2:26">
      <c r="B54" s="31"/>
      <c r="R54" s="38"/>
      <c r="S54" s="39"/>
      <c r="T54" s="40"/>
      <c r="U54" s="40"/>
      <c r="V54" s="40"/>
      <c r="W54" s="40"/>
      <c r="X54" s="40"/>
      <c r="Y54" s="40"/>
      <c r="Z54" s="44"/>
    </row>
    <row r="55" spans="2:26">
      <c r="B55" s="31"/>
      <c r="R55" s="38"/>
      <c r="S55" s="39"/>
      <c r="T55" s="40"/>
      <c r="U55" s="40"/>
      <c r="V55" s="40"/>
      <c r="W55" s="40"/>
      <c r="X55" s="40"/>
      <c r="Y55" s="40"/>
      <c r="Z55" s="44"/>
    </row>
    <row r="56" spans="2:26">
      <c r="B56" s="31"/>
      <c r="R56" s="38"/>
      <c r="S56" s="39"/>
      <c r="T56" s="40"/>
      <c r="U56" s="40"/>
      <c r="V56" s="40"/>
      <c r="W56" s="40"/>
      <c r="X56" s="40"/>
      <c r="Y56" s="40"/>
      <c r="Z56" s="44"/>
    </row>
    <row r="57" spans="2:26">
      <c r="B57" s="31"/>
      <c r="R57" s="38"/>
      <c r="S57" s="41"/>
      <c r="T57" s="42"/>
      <c r="U57" s="42"/>
      <c r="V57" s="42"/>
      <c r="W57" s="42"/>
      <c r="X57" s="42"/>
      <c r="Y57" s="42"/>
      <c r="Z57" s="45"/>
    </row>
    <row r="58" spans="2:26">
      <c r="B58" s="31"/>
      <c r="R58" s="38"/>
      <c r="S58" s="29"/>
      <c r="T58" s="30"/>
      <c r="U58" s="30"/>
      <c r="V58" s="30"/>
      <c r="W58" s="30"/>
      <c r="X58" s="30"/>
      <c r="Y58" s="30"/>
      <c r="Z58" s="35"/>
    </row>
    <row r="59" spans="2:26">
      <c r="B59" s="31"/>
      <c r="R59" s="38"/>
      <c r="S59" s="31"/>
      <c r="Z59" s="38"/>
    </row>
    <row r="60" spans="2:26">
      <c r="B60" s="31"/>
      <c r="R60" s="38"/>
      <c r="S60" s="31"/>
      <c r="Z60" s="38"/>
    </row>
    <row r="61" spans="2:26">
      <c r="B61" s="31"/>
      <c r="R61" s="38"/>
      <c r="S61" s="31"/>
      <c r="Z61" s="38"/>
    </row>
    <row r="62" spans="2:26">
      <c r="B62" s="31"/>
      <c r="R62" s="38"/>
      <c r="S62" s="31"/>
      <c r="Z62" s="38"/>
    </row>
    <row r="63" spans="2:26">
      <c r="B63" s="31"/>
      <c r="R63" s="38"/>
      <c r="S63" s="31"/>
      <c r="Z63" s="38"/>
    </row>
    <row r="64" spans="2:26">
      <c r="B64" s="31"/>
      <c r="R64" s="38"/>
      <c r="S64" s="31"/>
      <c r="Z64" s="38"/>
    </row>
    <row r="65" spans="2:26">
      <c r="B65" s="31"/>
      <c r="R65" s="38"/>
      <c r="S65" s="31"/>
      <c r="Z65" s="38"/>
    </row>
    <row r="66" spans="2:26">
      <c r="B66" s="31"/>
      <c r="R66" s="38"/>
      <c r="S66" s="31"/>
      <c r="Z66" s="38"/>
    </row>
    <row r="67" spans="2:26">
      <c r="B67" s="31"/>
      <c r="R67" s="38"/>
      <c r="S67" s="31"/>
      <c r="Z67" s="38"/>
    </row>
    <row r="68" spans="2:26">
      <c r="B68" s="31"/>
      <c r="R68" s="38"/>
      <c r="S68" s="31"/>
      <c r="Z68" s="38"/>
    </row>
    <row r="69" spans="2:26">
      <c r="B69" s="31"/>
      <c r="R69" s="38"/>
      <c r="S69" s="31"/>
      <c r="Z69" s="38"/>
    </row>
    <row r="70" spans="2:26">
      <c r="B70" s="31"/>
      <c r="R70" s="38"/>
      <c r="S70" s="31"/>
      <c r="Z70" s="38"/>
    </row>
    <row r="71" spans="2:26">
      <c r="B71" s="31"/>
      <c r="R71" s="38"/>
      <c r="S71" s="31"/>
      <c r="Z71" s="38"/>
    </row>
    <row r="72" spans="2:26">
      <c r="B72" s="46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8"/>
      <c r="S72" s="46"/>
      <c r="T72" s="47"/>
      <c r="U72" s="47"/>
      <c r="V72" s="47"/>
      <c r="W72" s="47"/>
      <c r="X72" s="47"/>
      <c r="Y72" s="47"/>
      <c r="Z72" s="48"/>
    </row>
  </sheetData>
  <mergeCells count="4">
    <mergeCell ref="C11:E11"/>
    <mergeCell ref="G11:I11"/>
    <mergeCell ref="D32:E32"/>
    <mergeCell ref="D33:E33"/>
  </mergeCells>
  <conditionalFormatting sqref="B14:AF29">
    <cfRule type="expression" dxfId="0" priority="1">
      <formula>AND(($A14=$C$11),(B$13=$G$11))</formula>
    </cfRule>
    <cfRule type="expression" dxfId="1" priority="2">
      <formula>OR(($A14=$C$11),(B$13=$G$11))</formula>
    </cfRule>
  </conditionalFormatting>
  <dataValidations count="2">
    <dataValidation type="list" allowBlank="1" showInputMessage="1" showErrorMessage="1" sqref="C11">
      <formula1>$A$14:$A$29</formula1>
    </dataValidation>
    <dataValidation type="list" allowBlank="1" showInputMessage="1" showErrorMessage="1" sqref="G11">
      <formula1>$B$13:$AF$13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ToggleButton1">
          <controlPr defaultSize="0" r:id="rId4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1025" r:id="rId3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73"/>
  <sheetViews>
    <sheetView tabSelected="1" zoomScale="85" zoomScaleNormal="85" workbookViewId="0">
      <selection activeCell="T26" sqref="T26"/>
    </sheetView>
  </sheetViews>
  <sheetFormatPr defaultColWidth="9" defaultRowHeight="13.5"/>
  <cols>
    <col min="1" max="1" width="12.875" style="4" customWidth="1"/>
    <col min="2" max="17" width="7.125" style="4" customWidth="1"/>
    <col min="18" max="30" width="8.125" style="4" customWidth="1"/>
    <col min="31" max="31" width="9" style="4"/>
    <col min="32" max="32" width="8.125" style="4" customWidth="1"/>
    <col min="33" max="16384" width="9" style="4"/>
  </cols>
  <sheetData>
    <row r="1" s="1" customFormat="1" spans="1:2">
      <c r="A1" s="4"/>
      <c r="B1" s="4"/>
    </row>
    <row r="2" s="8" customFormat="1" spans="1:2">
      <c r="A2" s="12"/>
      <c r="B2" s="12"/>
    </row>
    <row r="3" s="8" customFormat="1" spans="1:2">
      <c r="A3" s="12"/>
      <c r="B3" s="12"/>
    </row>
    <row r="4" s="8" customFormat="1" spans="1:2">
      <c r="A4" s="12"/>
      <c r="B4" s="12"/>
    </row>
    <row r="5" s="8" customFormat="1" spans="1:2">
      <c r="A5" s="12"/>
      <c r="B5" s="12"/>
    </row>
    <row r="6" s="8" customFormat="1" spans="1:2">
      <c r="A6" s="12"/>
      <c r="B6" s="12"/>
    </row>
    <row r="7" s="9" customFormat="1" ht="14.25"/>
    <row r="8" s="10" customFormat="1" ht="14.25"/>
    <row r="9" s="3" customFormat="1" ht="14.25"/>
    <row r="10" ht="20" customHeight="1" spans="13:18">
      <c r="M10" s="32">
        <v>1</v>
      </c>
      <c r="N10" s="32">
        <f ca="1">VLOOKUP(C11,A15:B30,2,0)</f>
        <v>45</v>
      </c>
      <c r="O10" s="32" t="s">
        <v>37</v>
      </c>
      <c r="P10" s="32" t="s">
        <v>38</v>
      </c>
      <c r="R10" s="32"/>
    </row>
    <row r="11" s="11" customFormat="1" ht="20" customHeight="1" spans="1:21">
      <c r="A11" s="11" t="s">
        <v>39</v>
      </c>
      <c r="B11" s="13" t="s">
        <v>0</v>
      </c>
      <c r="C11" s="14" t="s">
        <v>10</v>
      </c>
      <c r="D11" s="14"/>
      <c r="E11" s="14"/>
      <c r="F11" s="13" t="s">
        <v>2</v>
      </c>
      <c r="G11" s="15">
        <v>43841</v>
      </c>
      <c r="H11" s="15"/>
      <c r="I11" s="15"/>
      <c r="J11" s="13" t="s">
        <v>3</v>
      </c>
      <c r="K11" s="33">
        <f ca="1">VLOOKUP(C11,A15:AF30,MATCH(G11,B14:AF14,0)+1,0)</f>
        <v>58</v>
      </c>
      <c r="M11" s="32">
        <v>2</v>
      </c>
      <c r="N11" s="32">
        <f>MATCH(G11,A14:AF14,0)</f>
        <v>12</v>
      </c>
      <c r="O11" s="32" t="s">
        <v>40</v>
      </c>
      <c r="P11" s="32" t="s">
        <v>41</v>
      </c>
      <c r="R11" s="32"/>
      <c r="U11" s="34" t="s">
        <v>42</v>
      </c>
    </row>
    <row r="12" s="11" customFormat="1" ht="15" customHeight="1" spans="3:9">
      <c r="C12" s="16"/>
      <c r="D12" s="16"/>
      <c r="E12" s="16"/>
      <c r="G12" s="16"/>
      <c r="H12" s="16"/>
      <c r="I12" s="16"/>
    </row>
    <row r="13" spans="1:32">
      <c r="A13" s="17">
        <v>1</v>
      </c>
      <c r="B13" s="17">
        <v>2</v>
      </c>
      <c r="C13" s="17">
        <v>3</v>
      </c>
      <c r="D13" s="17">
        <v>4</v>
      </c>
      <c r="E13" s="17">
        <v>5</v>
      </c>
      <c r="F13" s="17">
        <v>6</v>
      </c>
      <c r="G13" s="17">
        <v>7</v>
      </c>
      <c r="H13" s="17">
        <v>8</v>
      </c>
      <c r="I13" s="17">
        <v>9</v>
      </c>
      <c r="J13" s="17">
        <v>10</v>
      </c>
      <c r="K13" s="17">
        <v>11</v>
      </c>
      <c r="L13" s="17">
        <v>12</v>
      </c>
      <c r="M13" s="17">
        <v>13</v>
      </c>
      <c r="N13" s="17">
        <v>14</v>
      </c>
      <c r="O13" s="17">
        <v>15</v>
      </c>
      <c r="P13" s="17">
        <v>16</v>
      </c>
      <c r="Q13" s="17">
        <v>17</v>
      </c>
      <c r="R13" s="17">
        <v>18</v>
      </c>
      <c r="S13" s="17">
        <v>19</v>
      </c>
      <c r="T13" s="17">
        <v>20</v>
      </c>
      <c r="U13" s="17">
        <v>21</v>
      </c>
      <c r="V13" s="17">
        <v>22</v>
      </c>
      <c r="W13" s="17">
        <v>23</v>
      </c>
      <c r="X13" s="17">
        <v>24</v>
      </c>
      <c r="Y13" s="17">
        <v>25</v>
      </c>
      <c r="Z13" s="17">
        <v>26</v>
      </c>
      <c r="AA13" s="17">
        <v>27</v>
      </c>
      <c r="AB13" s="17">
        <v>28</v>
      </c>
      <c r="AC13" s="17">
        <v>29</v>
      </c>
      <c r="AD13" s="17">
        <v>30</v>
      </c>
      <c r="AE13" s="17">
        <v>31</v>
      </c>
      <c r="AF13" s="17">
        <v>32</v>
      </c>
    </row>
    <row r="14" spans="1:32">
      <c r="A14" s="18" t="s">
        <v>2</v>
      </c>
      <c r="B14" s="19">
        <v>43831</v>
      </c>
      <c r="C14" s="19">
        <v>43832</v>
      </c>
      <c r="D14" s="19">
        <v>43833</v>
      </c>
      <c r="E14" s="19">
        <v>43834</v>
      </c>
      <c r="F14" s="19">
        <v>43835</v>
      </c>
      <c r="G14" s="19">
        <v>43836</v>
      </c>
      <c r="H14" s="19">
        <v>43837</v>
      </c>
      <c r="I14" s="19">
        <v>43838</v>
      </c>
      <c r="J14" s="19">
        <v>43839</v>
      </c>
      <c r="K14" s="19">
        <v>43840</v>
      </c>
      <c r="L14" s="19">
        <v>43841</v>
      </c>
      <c r="M14" s="19">
        <v>43842</v>
      </c>
      <c r="N14" s="19">
        <v>43843</v>
      </c>
      <c r="O14" s="19">
        <v>43844</v>
      </c>
      <c r="P14" s="19">
        <v>43845</v>
      </c>
      <c r="Q14" s="19">
        <v>43846</v>
      </c>
      <c r="R14" s="19">
        <v>43847</v>
      </c>
      <c r="S14" s="19">
        <v>43848</v>
      </c>
      <c r="T14" s="19">
        <v>43849</v>
      </c>
      <c r="U14" s="19">
        <v>43850</v>
      </c>
      <c r="V14" s="19">
        <v>43851</v>
      </c>
      <c r="W14" s="19">
        <v>43852</v>
      </c>
      <c r="X14" s="19">
        <v>43853</v>
      </c>
      <c r="Y14" s="19">
        <v>43854</v>
      </c>
      <c r="Z14" s="19">
        <v>43855</v>
      </c>
      <c r="AA14" s="19">
        <v>43856</v>
      </c>
      <c r="AB14" s="19">
        <v>43857</v>
      </c>
      <c r="AC14" s="19">
        <v>43858</v>
      </c>
      <c r="AD14" s="19">
        <v>43859</v>
      </c>
      <c r="AE14" s="19">
        <v>43860</v>
      </c>
      <c r="AF14" s="19">
        <v>43861</v>
      </c>
    </row>
    <row r="15" ht="15" customHeight="1" spans="1:32">
      <c r="A15" s="20" t="s">
        <v>4</v>
      </c>
      <c r="B15" s="21">
        <f ca="1" t="shared" ref="B15:AF15" si="0">RANDBETWEEN(1,100)</f>
        <v>100</v>
      </c>
      <c r="C15" s="21">
        <f ca="1" t="shared" si="0"/>
        <v>71</v>
      </c>
      <c r="D15" s="21">
        <f ca="1" t="shared" si="0"/>
        <v>14</v>
      </c>
      <c r="E15" s="21">
        <f ca="1" t="shared" si="0"/>
        <v>71</v>
      </c>
      <c r="F15" s="21">
        <f ca="1" t="shared" si="0"/>
        <v>65</v>
      </c>
      <c r="G15" s="21">
        <f ca="1" t="shared" si="0"/>
        <v>73</v>
      </c>
      <c r="H15" s="21">
        <f ca="1" t="shared" si="0"/>
        <v>87</v>
      </c>
      <c r="I15" s="21">
        <f ca="1" t="shared" si="0"/>
        <v>95</v>
      </c>
      <c r="J15" s="21">
        <f ca="1" t="shared" si="0"/>
        <v>25</v>
      </c>
      <c r="K15" s="21">
        <f ca="1" t="shared" si="0"/>
        <v>16</v>
      </c>
      <c r="L15" s="21">
        <f ca="1" t="shared" si="0"/>
        <v>24</v>
      </c>
      <c r="M15" s="21">
        <f ca="1" t="shared" si="0"/>
        <v>80</v>
      </c>
      <c r="N15" s="21">
        <f ca="1" t="shared" si="0"/>
        <v>61</v>
      </c>
      <c r="O15" s="21">
        <f ca="1" t="shared" si="0"/>
        <v>83</v>
      </c>
      <c r="P15" s="21">
        <f ca="1" t="shared" si="0"/>
        <v>10</v>
      </c>
      <c r="Q15" s="21">
        <f ca="1" t="shared" si="0"/>
        <v>43</v>
      </c>
      <c r="R15" s="21">
        <f ca="1" t="shared" si="0"/>
        <v>86</v>
      </c>
      <c r="S15" s="21">
        <f ca="1" t="shared" si="0"/>
        <v>59</v>
      </c>
      <c r="T15" s="21">
        <f ca="1" t="shared" si="0"/>
        <v>70</v>
      </c>
      <c r="U15" s="21">
        <f ca="1" t="shared" si="0"/>
        <v>6</v>
      </c>
      <c r="V15" s="21">
        <f ca="1" t="shared" si="0"/>
        <v>89</v>
      </c>
      <c r="W15" s="21">
        <f ca="1" t="shared" si="0"/>
        <v>47</v>
      </c>
      <c r="X15" s="21">
        <f ca="1" t="shared" si="0"/>
        <v>31</v>
      </c>
      <c r="Y15" s="21">
        <f ca="1" t="shared" si="0"/>
        <v>89</v>
      </c>
      <c r="Z15" s="21">
        <f ca="1" t="shared" si="0"/>
        <v>27</v>
      </c>
      <c r="AA15" s="21">
        <f ca="1" t="shared" si="0"/>
        <v>22</v>
      </c>
      <c r="AB15" s="21">
        <f ca="1" t="shared" si="0"/>
        <v>85</v>
      </c>
      <c r="AC15" s="21">
        <f ca="1" t="shared" si="0"/>
        <v>63</v>
      </c>
      <c r="AD15" s="21">
        <f ca="1" t="shared" si="0"/>
        <v>69</v>
      </c>
      <c r="AE15" s="21">
        <f ca="1" t="shared" si="0"/>
        <v>33</v>
      </c>
      <c r="AF15" s="21">
        <f ca="1" t="shared" si="0"/>
        <v>84</v>
      </c>
    </row>
    <row r="16" ht="15" customHeight="1" spans="1:32">
      <c r="A16" s="20" t="s">
        <v>5</v>
      </c>
      <c r="B16" s="21">
        <f ca="1" t="shared" ref="B16:AF16" si="1">RANDBETWEEN(1,100)</f>
        <v>5</v>
      </c>
      <c r="C16" s="21">
        <f ca="1" t="shared" si="1"/>
        <v>42</v>
      </c>
      <c r="D16" s="21">
        <f ca="1" t="shared" si="1"/>
        <v>85</v>
      </c>
      <c r="E16" s="21">
        <f ca="1" t="shared" si="1"/>
        <v>22</v>
      </c>
      <c r="F16" s="21">
        <f ca="1" t="shared" si="1"/>
        <v>79</v>
      </c>
      <c r="G16" s="21">
        <f ca="1" t="shared" si="1"/>
        <v>21</v>
      </c>
      <c r="H16" s="21">
        <f ca="1" t="shared" si="1"/>
        <v>47</v>
      </c>
      <c r="I16" s="21">
        <f ca="1" t="shared" si="1"/>
        <v>16</v>
      </c>
      <c r="J16" s="21">
        <f ca="1" t="shared" si="1"/>
        <v>24</v>
      </c>
      <c r="K16" s="21">
        <f ca="1" t="shared" si="1"/>
        <v>87</v>
      </c>
      <c r="L16" s="21">
        <f ca="1" t="shared" si="1"/>
        <v>2</v>
      </c>
      <c r="M16" s="21">
        <f ca="1" t="shared" si="1"/>
        <v>24</v>
      </c>
      <c r="N16" s="21">
        <f ca="1" t="shared" si="1"/>
        <v>7</v>
      </c>
      <c r="O16" s="21">
        <f ca="1" t="shared" si="1"/>
        <v>64</v>
      </c>
      <c r="P16" s="21">
        <f ca="1" t="shared" si="1"/>
        <v>58</v>
      </c>
      <c r="Q16" s="21">
        <f ca="1" t="shared" si="1"/>
        <v>54</v>
      </c>
      <c r="R16" s="21">
        <f ca="1" t="shared" si="1"/>
        <v>58</v>
      </c>
      <c r="S16" s="21">
        <f ca="1" t="shared" si="1"/>
        <v>40</v>
      </c>
      <c r="T16" s="21">
        <f ca="1" t="shared" si="1"/>
        <v>39</v>
      </c>
      <c r="U16" s="21">
        <f ca="1" t="shared" si="1"/>
        <v>41</v>
      </c>
      <c r="V16" s="21">
        <f ca="1" t="shared" si="1"/>
        <v>66</v>
      </c>
      <c r="W16" s="21">
        <f ca="1" t="shared" si="1"/>
        <v>61</v>
      </c>
      <c r="X16" s="21">
        <f ca="1" t="shared" si="1"/>
        <v>75</v>
      </c>
      <c r="Y16" s="21">
        <f ca="1" t="shared" si="1"/>
        <v>28</v>
      </c>
      <c r="Z16" s="21">
        <f ca="1" t="shared" si="1"/>
        <v>67</v>
      </c>
      <c r="AA16" s="21">
        <f ca="1" t="shared" si="1"/>
        <v>7</v>
      </c>
      <c r="AB16" s="21">
        <f ca="1" t="shared" si="1"/>
        <v>7</v>
      </c>
      <c r="AC16" s="21">
        <f ca="1" t="shared" si="1"/>
        <v>17</v>
      </c>
      <c r="AD16" s="21">
        <f ca="1" t="shared" si="1"/>
        <v>23</v>
      </c>
      <c r="AE16" s="21">
        <f ca="1" t="shared" si="1"/>
        <v>82</v>
      </c>
      <c r="AF16" s="21">
        <f ca="1" t="shared" si="1"/>
        <v>20</v>
      </c>
    </row>
    <row r="17" ht="15" customHeight="1" spans="1:32">
      <c r="A17" s="20" t="s">
        <v>6</v>
      </c>
      <c r="B17" s="21">
        <f ca="1" t="shared" ref="B17:AF17" si="2">RANDBETWEEN(1,100)</f>
        <v>77</v>
      </c>
      <c r="C17" s="21">
        <f ca="1" t="shared" si="2"/>
        <v>29</v>
      </c>
      <c r="D17" s="21">
        <f ca="1" t="shared" si="2"/>
        <v>39</v>
      </c>
      <c r="E17" s="21">
        <f ca="1" t="shared" si="2"/>
        <v>36</v>
      </c>
      <c r="F17" s="21">
        <f ca="1" t="shared" si="2"/>
        <v>6</v>
      </c>
      <c r="G17" s="21">
        <f ca="1" t="shared" si="2"/>
        <v>70</v>
      </c>
      <c r="H17" s="21">
        <f ca="1" t="shared" si="2"/>
        <v>88</v>
      </c>
      <c r="I17" s="21">
        <f ca="1" t="shared" si="2"/>
        <v>22</v>
      </c>
      <c r="J17" s="21">
        <f ca="1" t="shared" si="2"/>
        <v>65</v>
      </c>
      <c r="K17" s="21">
        <f ca="1" t="shared" si="2"/>
        <v>28</v>
      </c>
      <c r="L17" s="21">
        <f ca="1" t="shared" si="2"/>
        <v>37</v>
      </c>
      <c r="M17" s="21">
        <f ca="1" t="shared" si="2"/>
        <v>43</v>
      </c>
      <c r="N17" s="21">
        <f ca="1" t="shared" si="2"/>
        <v>77</v>
      </c>
      <c r="O17" s="21">
        <f ca="1" t="shared" si="2"/>
        <v>51</v>
      </c>
      <c r="P17" s="21">
        <f ca="1" t="shared" si="2"/>
        <v>21</v>
      </c>
      <c r="Q17" s="21">
        <f ca="1" t="shared" si="2"/>
        <v>66</v>
      </c>
      <c r="R17" s="21">
        <f ca="1" t="shared" si="2"/>
        <v>91</v>
      </c>
      <c r="S17" s="21">
        <f ca="1" t="shared" si="2"/>
        <v>79</v>
      </c>
      <c r="T17" s="21">
        <f ca="1" t="shared" si="2"/>
        <v>94</v>
      </c>
      <c r="U17" s="21">
        <f ca="1" t="shared" si="2"/>
        <v>25</v>
      </c>
      <c r="V17" s="21">
        <f ca="1" t="shared" si="2"/>
        <v>19</v>
      </c>
      <c r="W17" s="21">
        <f ca="1" t="shared" si="2"/>
        <v>44</v>
      </c>
      <c r="X17" s="21">
        <f ca="1" t="shared" si="2"/>
        <v>36</v>
      </c>
      <c r="Y17" s="21">
        <f ca="1" t="shared" si="2"/>
        <v>48</v>
      </c>
      <c r="Z17" s="21">
        <f ca="1" t="shared" si="2"/>
        <v>81</v>
      </c>
      <c r="AA17" s="21">
        <f ca="1" t="shared" si="2"/>
        <v>97</v>
      </c>
      <c r="AB17" s="21">
        <f ca="1" t="shared" si="2"/>
        <v>53</v>
      </c>
      <c r="AC17" s="21">
        <f ca="1" t="shared" si="2"/>
        <v>35</v>
      </c>
      <c r="AD17" s="21">
        <f ca="1" t="shared" si="2"/>
        <v>50</v>
      </c>
      <c r="AE17" s="21">
        <f ca="1" t="shared" si="2"/>
        <v>90</v>
      </c>
      <c r="AF17" s="21">
        <f ca="1" t="shared" si="2"/>
        <v>58</v>
      </c>
    </row>
    <row r="18" ht="15" customHeight="1" spans="1:32">
      <c r="A18" s="20" t="s">
        <v>1</v>
      </c>
      <c r="B18" s="21">
        <f ca="1" t="shared" ref="B18:AF18" si="3">RANDBETWEEN(1,100)</f>
        <v>50</v>
      </c>
      <c r="C18" s="21">
        <f ca="1" t="shared" si="3"/>
        <v>1</v>
      </c>
      <c r="D18" s="21">
        <f ca="1" t="shared" si="3"/>
        <v>24</v>
      </c>
      <c r="E18" s="21">
        <f ca="1" t="shared" si="3"/>
        <v>63</v>
      </c>
      <c r="F18" s="21">
        <f ca="1" t="shared" si="3"/>
        <v>81</v>
      </c>
      <c r="G18" s="21">
        <f ca="1" t="shared" si="3"/>
        <v>80</v>
      </c>
      <c r="H18" s="21">
        <f ca="1" t="shared" si="3"/>
        <v>17</v>
      </c>
      <c r="I18" s="21">
        <f ca="1" t="shared" si="3"/>
        <v>46</v>
      </c>
      <c r="J18" s="21">
        <f ca="1" t="shared" si="3"/>
        <v>89</v>
      </c>
      <c r="K18" s="21">
        <f ca="1" t="shared" si="3"/>
        <v>70</v>
      </c>
      <c r="L18" s="21">
        <f ca="1" t="shared" si="3"/>
        <v>58</v>
      </c>
      <c r="M18" s="21">
        <f ca="1" t="shared" si="3"/>
        <v>47</v>
      </c>
      <c r="N18" s="21">
        <f ca="1" t="shared" si="3"/>
        <v>30</v>
      </c>
      <c r="O18" s="21">
        <f ca="1" t="shared" si="3"/>
        <v>11</v>
      </c>
      <c r="P18" s="21">
        <f ca="1" t="shared" si="3"/>
        <v>38</v>
      </c>
      <c r="Q18" s="21">
        <f ca="1" t="shared" si="3"/>
        <v>68</v>
      </c>
      <c r="R18" s="21">
        <f ca="1" t="shared" si="3"/>
        <v>91</v>
      </c>
      <c r="S18" s="21">
        <f ca="1" t="shared" si="3"/>
        <v>5</v>
      </c>
      <c r="T18" s="21">
        <f ca="1" t="shared" si="3"/>
        <v>17</v>
      </c>
      <c r="U18" s="21">
        <f ca="1" t="shared" si="3"/>
        <v>67</v>
      </c>
      <c r="V18" s="21">
        <f ca="1" t="shared" si="3"/>
        <v>56</v>
      </c>
      <c r="W18" s="21">
        <f ca="1" t="shared" si="3"/>
        <v>72</v>
      </c>
      <c r="X18" s="21">
        <f ca="1" t="shared" si="3"/>
        <v>14</v>
      </c>
      <c r="Y18" s="21">
        <f ca="1" t="shared" si="3"/>
        <v>11</v>
      </c>
      <c r="Z18" s="21">
        <f ca="1" t="shared" si="3"/>
        <v>81</v>
      </c>
      <c r="AA18" s="21">
        <f ca="1" t="shared" si="3"/>
        <v>55</v>
      </c>
      <c r="AB18" s="21">
        <f ca="1" t="shared" si="3"/>
        <v>62</v>
      </c>
      <c r="AC18" s="21">
        <f ca="1" t="shared" si="3"/>
        <v>36</v>
      </c>
      <c r="AD18" s="21">
        <f ca="1" t="shared" si="3"/>
        <v>89</v>
      </c>
      <c r="AE18" s="21">
        <f ca="1" t="shared" si="3"/>
        <v>73</v>
      </c>
      <c r="AF18" s="21">
        <f ca="1" t="shared" si="3"/>
        <v>100</v>
      </c>
    </row>
    <row r="19" ht="15" customHeight="1" spans="1:32">
      <c r="A19" s="20" t="s">
        <v>7</v>
      </c>
      <c r="B19" s="21">
        <f ca="1" t="shared" ref="B19:AF19" si="4">RANDBETWEEN(1,100)</f>
        <v>75</v>
      </c>
      <c r="C19" s="21">
        <f ca="1" t="shared" si="4"/>
        <v>29</v>
      </c>
      <c r="D19" s="21">
        <f ca="1" t="shared" si="4"/>
        <v>83</v>
      </c>
      <c r="E19" s="21">
        <f ca="1" t="shared" si="4"/>
        <v>33</v>
      </c>
      <c r="F19" s="21">
        <f ca="1" t="shared" si="4"/>
        <v>93</v>
      </c>
      <c r="G19" s="21">
        <f ca="1" t="shared" si="4"/>
        <v>7</v>
      </c>
      <c r="H19" s="21">
        <f ca="1" t="shared" si="4"/>
        <v>24</v>
      </c>
      <c r="I19" s="21">
        <f ca="1" t="shared" si="4"/>
        <v>52</v>
      </c>
      <c r="J19" s="21">
        <f ca="1" t="shared" si="4"/>
        <v>60</v>
      </c>
      <c r="K19" s="21">
        <f ca="1" t="shared" si="4"/>
        <v>38</v>
      </c>
      <c r="L19" s="21">
        <f ca="1" t="shared" si="4"/>
        <v>12</v>
      </c>
      <c r="M19" s="21">
        <f ca="1" t="shared" si="4"/>
        <v>83</v>
      </c>
      <c r="N19" s="21">
        <f ca="1" t="shared" si="4"/>
        <v>9</v>
      </c>
      <c r="O19" s="21">
        <f ca="1" t="shared" si="4"/>
        <v>87</v>
      </c>
      <c r="P19" s="21">
        <f ca="1" t="shared" si="4"/>
        <v>20</v>
      </c>
      <c r="Q19" s="21">
        <f ca="1" t="shared" si="4"/>
        <v>18</v>
      </c>
      <c r="R19" s="21">
        <f ca="1" t="shared" si="4"/>
        <v>85</v>
      </c>
      <c r="S19" s="21">
        <f ca="1" t="shared" si="4"/>
        <v>56</v>
      </c>
      <c r="T19" s="21">
        <f ca="1" t="shared" si="4"/>
        <v>70</v>
      </c>
      <c r="U19" s="21">
        <f ca="1" t="shared" si="4"/>
        <v>40</v>
      </c>
      <c r="V19" s="21">
        <f ca="1" t="shared" si="4"/>
        <v>11</v>
      </c>
      <c r="W19" s="21">
        <f ca="1" t="shared" si="4"/>
        <v>100</v>
      </c>
      <c r="X19" s="21">
        <f ca="1" t="shared" si="4"/>
        <v>78</v>
      </c>
      <c r="Y19" s="21">
        <f ca="1" t="shared" si="4"/>
        <v>33</v>
      </c>
      <c r="Z19" s="21">
        <f ca="1" t="shared" si="4"/>
        <v>57</v>
      </c>
      <c r="AA19" s="21">
        <f ca="1" t="shared" si="4"/>
        <v>17</v>
      </c>
      <c r="AB19" s="21">
        <f ca="1" t="shared" si="4"/>
        <v>52</v>
      </c>
      <c r="AC19" s="21">
        <f ca="1" t="shared" si="4"/>
        <v>14</v>
      </c>
      <c r="AD19" s="21">
        <f ca="1" t="shared" si="4"/>
        <v>59</v>
      </c>
      <c r="AE19" s="21">
        <f ca="1" t="shared" si="4"/>
        <v>80</v>
      </c>
      <c r="AF19" s="21">
        <f ca="1" t="shared" si="4"/>
        <v>41</v>
      </c>
    </row>
    <row r="20" ht="15" customHeight="1" spans="1:32">
      <c r="A20" s="20" t="s">
        <v>8</v>
      </c>
      <c r="B20" s="21">
        <f ca="1" t="shared" ref="B20:AF20" si="5">RANDBETWEEN(1,100)</f>
        <v>37</v>
      </c>
      <c r="C20" s="21">
        <f ca="1" t="shared" si="5"/>
        <v>74</v>
      </c>
      <c r="D20" s="21">
        <f ca="1" t="shared" si="5"/>
        <v>25</v>
      </c>
      <c r="E20" s="21">
        <f ca="1" t="shared" si="5"/>
        <v>23</v>
      </c>
      <c r="F20" s="21">
        <f ca="1" t="shared" si="5"/>
        <v>43</v>
      </c>
      <c r="G20" s="21">
        <f ca="1" t="shared" si="5"/>
        <v>72</v>
      </c>
      <c r="H20" s="21">
        <f ca="1" t="shared" si="5"/>
        <v>34</v>
      </c>
      <c r="I20" s="21">
        <f ca="1" t="shared" si="5"/>
        <v>19</v>
      </c>
      <c r="J20" s="21">
        <f ca="1" t="shared" si="5"/>
        <v>29</v>
      </c>
      <c r="K20" s="21">
        <f ca="1" t="shared" si="5"/>
        <v>90</v>
      </c>
      <c r="L20" s="21">
        <f ca="1" t="shared" si="5"/>
        <v>1</v>
      </c>
      <c r="M20" s="21">
        <f ca="1" t="shared" si="5"/>
        <v>56</v>
      </c>
      <c r="N20" s="21">
        <f ca="1" t="shared" si="5"/>
        <v>28</v>
      </c>
      <c r="O20" s="21">
        <f ca="1" t="shared" si="5"/>
        <v>10</v>
      </c>
      <c r="P20" s="21">
        <f ca="1" t="shared" si="5"/>
        <v>76</v>
      </c>
      <c r="Q20" s="21">
        <f ca="1" t="shared" si="5"/>
        <v>96</v>
      </c>
      <c r="R20" s="21">
        <f ca="1" t="shared" si="5"/>
        <v>21</v>
      </c>
      <c r="S20" s="21">
        <f ca="1" t="shared" si="5"/>
        <v>56</v>
      </c>
      <c r="T20" s="21">
        <f ca="1" t="shared" si="5"/>
        <v>44</v>
      </c>
      <c r="U20" s="21">
        <f ca="1" t="shared" si="5"/>
        <v>76</v>
      </c>
      <c r="V20" s="21">
        <f ca="1" t="shared" si="5"/>
        <v>82</v>
      </c>
      <c r="W20" s="21">
        <f ca="1" t="shared" si="5"/>
        <v>82</v>
      </c>
      <c r="X20" s="21">
        <f ca="1" t="shared" si="5"/>
        <v>93</v>
      </c>
      <c r="Y20" s="21">
        <f ca="1" t="shared" si="5"/>
        <v>58</v>
      </c>
      <c r="Z20" s="21">
        <f ca="1" t="shared" si="5"/>
        <v>79</v>
      </c>
      <c r="AA20" s="21">
        <f ca="1" t="shared" si="5"/>
        <v>3</v>
      </c>
      <c r="AB20" s="21">
        <f ca="1" t="shared" si="5"/>
        <v>85</v>
      </c>
      <c r="AC20" s="21">
        <f ca="1" t="shared" si="5"/>
        <v>7</v>
      </c>
      <c r="AD20" s="21">
        <f ca="1" t="shared" si="5"/>
        <v>5</v>
      </c>
      <c r="AE20" s="21">
        <f ca="1" t="shared" si="5"/>
        <v>44</v>
      </c>
      <c r="AF20" s="21">
        <f ca="1" t="shared" si="5"/>
        <v>26</v>
      </c>
    </row>
    <row r="21" ht="15" customHeight="1" spans="1:32">
      <c r="A21" s="20" t="s">
        <v>9</v>
      </c>
      <c r="B21" s="21">
        <f ca="1" t="shared" ref="B21:AF21" si="6">RANDBETWEEN(1,100)</f>
        <v>24</v>
      </c>
      <c r="C21" s="21">
        <f ca="1" t="shared" si="6"/>
        <v>66</v>
      </c>
      <c r="D21" s="21">
        <f ca="1" t="shared" si="6"/>
        <v>95</v>
      </c>
      <c r="E21" s="21">
        <f ca="1" t="shared" si="6"/>
        <v>30</v>
      </c>
      <c r="F21" s="21">
        <f ca="1" t="shared" si="6"/>
        <v>31</v>
      </c>
      <c r="G21" s="21">
        <f ca="1" t="shared" si="6"/>
        <v>88</v>
      </c>
      <c r="H21" s="21">
        <f ca="1" t="shared" si="6"/>
        <v>84</v>
      </c>
      <c r="I21" s="21">
        <f ca="1" t="shared" si="6"/>
        <v>6</v>
      </c>
      <c r="J21" s="21">
        <f ca="1" t="shared" si="6"/>
        <v>42</v>
      </c>
      <c r="K21" s="21">
        <f ca="1" t="shared" si="6"/>
        <v>33</v>
      </c>
      <c r="L21" s="21">
        <f ca="1" t="shared" si="6"/>
        <v>9</v>
      </c>
      <c r="M21" s="21">
        <f ca="1" t="shared" si="6"/>
        <v>50</v>
      </c>
      <c r="N21" s="21">
        <f ca="1" t="shared" si="6"/>
        <v>82</v>
      </c>
      <c r="O21" s="21">
        <f ca="1" t="shared" si="6"/>
        <v>72</v>
      </c>
      <c r="P21" s="21">
        <f ca="1" t="shared" si="6"/>
        <v>83</v>
      </c>
      <c r="Q21" s="21">
        <f ca="1" t="shared" si="6"/>
        <v>96</v>
      </c>
      <c r="R21" s="21">
        <f ca="1" t="shared" si="6"/>
        <v>15</v>
      </c>
      <c r="S21" s="21">
        <f ca="1" t="shared" si="6"/>
        <v>67</v>
      </c>
      <c r="T21" s="21">
        <f ca="1" t="shared" si="6"/>
        <v>33</v>
      </c>
      <c r="U21" s="21">
        <f ca="1" t="shared" si="6"/>
        <v>64</v>
      </c>
      <c r="V21" s="21">
        <f ca="1" t="shared" si="6"/>
        <v>89</v>
      </c>
      <c r="W21" s="21">
        <f ca="1" t="shared" si="6"/>
        <v>9</v>
      </c>
      <c r="X21" s="21">
        <f ca="1" t="shared" si="6"/>
        <v>42</v>
      </c>
      <c r="Y21" s="21">
        <f ca="1" t="shared" si="6"/>
        <v>21</v>
      </c>
      <c r="Z21" s="21">
        <f ca="1" t="shared" si="6"/>
        <v>10</v>
      </c>
      <c r="AA21" s="21">
        <f ca="1" t="shared" si="6"/>
        <v>50</v>
      </c>
      <c r="AB21" s="21">
        <f ca="1" t="shared" si="6"/>
        <v>80</v>
      </c>
      <c r="AC21" s="21">
        <f ca="1" t="shared" si="6"/>
        <v>88</v>
      </c>
      <c r="AD21" s="21">
        <f ca="1" t="shared" si="6"/>
        <v>23</v>
      </c>
      <c r="AE21" s="21">
        <f ca="1" t="shared" si="6"/>
        <v>66</v>
      </c>
      <c r="AF21" s="21">
        <f ca="1" t="shared" si="6"/>
        <v>13</v>
      </c>
    </row>
    <row r="22" ht="15" customHeight="1" spans="1:32">
      <c r="A22" s="20" t="s">
        <v>10</v>
      </c>
      <c r="B22" s="21">
        <f ca="1" t="shared" ref="B22:AF22" si="7">RANDBETWEEN(1,100)</f>
        <v>45</v>
      </c>
      <c r="C22" s="21">
        <f ca="1" t="shared" si="7"/>
        <v>35</v>
      </c>
      <c r="D22" s="21">
        <f ca="1" t="shared" si="7"/>
        <v>10</v>
      </c>
      <c r="E22" s="21">
        <f ca="1" t="shared" si="7"/>
        <v>7</v>
      </c>
      <c r="F22" s="21">
        <f ca="1" t="shared" si="7"/>
        <v>84</v>
      </c>
      <c r="G22" s="21">
        <f ca="1" t="shared" si="7"/>
        <v>63</v>
      </c>
      <c r="H22" s="21">
        <f ca="1" t="shared" si="7"/>
        <v>58</v>
      </c>
      <c r="I22" s="21">
        <f ca="1" t="shared" si="7"/>
        <v>79</v>
      </c>
      <c r="J22" s="21">
        <f ca="1" t="shared" si="7"/>
        <v>84</v>
      </c>
      <c r="K22" s="21">
        <f ca="1" t="shared" si="7"/>
        <v>61</v>
      </c>
      <c r="L22" s="21">
        <f ca="1" t="shared" si="7"/>
        <v>58</v>
      </c>
      <c r="M22" s="21">
        <f ca="1" t="shared" si="7"/>
        <v>8</v>
      </c>
      <c r="N22" s="21">
        <f ca="1" t="shared" si="7"/>
        <v>50</v>
      </c>
      <c r="O22" s="21">
        <f ca="1" t="shared" si="7"/>
        <v>36</v>
      </c>
      <c r="P22" s="21">
        <f ca="1" t="shared" si="7"/>
        <v>40</v>
      </c>
      <c r="Q22" s="21">
        <f ca="1" t="shared" si="7"/>
        <v>42</v>
      </c>
      <c r="R22" s="21">
        <f ca="1" t="shared" si="7"/>
        <v>55</v>
      </c>
      <c r="S22" s="21">
        <f ca="1" t="shared" si="7"/>
        <v>14</v>
      </c>
      <c r="T22" s="21">
        <f ca="1" t="shared" si="7"/>
        <v>61</v>
      </c>
      <c r="U22" s="21">
        <f ca="1" t="shared" si="7"/>
        <v>10</v>
      </c>
      <c r="V22" s="21">
        <f ca="1" t="shared" si="7"/>
        <v>61</v>
      </c>
      <c r="W22" s="21">
        <f ca="1" t="shared" si="7"/>
        <v>83</v>
      </c>
      <c r="X22" s="21">
        <f ca="1" t="shared" si="7"/>
        <v>36</v>
      </c>
      <c r="Y22" s="21">
        <f ca="1" t="shared" si="7"/>
        <v>49</v>
      </c>
      <c r="Z22" s="21">
        <f ca="1" t="shared" si="7"/>
        <v>62</v>
      </c>
      <c r="AA22" s="21">
        <f ca="1" t="shared" si="7"/>
        <v>10</v>
      </c>
      <c r="AB22" s="21">
        <f ca="1" t="shared" si="7"/>
        <v>88</v>
      </c>
      <c r="AC22" s="21">
        <f ca="1" t="shared" si="7"/>
        <v>37</v>
      </c>
      <c r="AD22" s="21">
        <f ca="1" t="shared" si="7"/>
        <v>41</v>
      </c>
      <c r="AE22" s="21">
        <f ca="1" t="shared" si="7"/>
        <v>79</v>
      </c>
      <c r="AF22" s="21">
        <f ca="1" t="shared" si="7"/>
        <v>34</v>
      </c>
    </row>
    <row r="23" ht="15" customHeight="1" spans="1:32">
      <c r="A23" s="20" t="s">
        <v>11</v>
      </c>
      <c r="B23" s="21">
        <f ca="1" t="shared" ref="B23:AF23" si="8">RANDBETWEEN(1,100)</f>
        <v>33</v>
      </c>
      <c r="C23" s="21">
        <f ca="1" t="shared" si="8"/>
        <v>33</v>
      </c>
      <c r="D23" s="21">
        <f ca="1" t="shared" si="8"/>
        <v>8</v>
      </c>
      <c r="E23" s="21">
        <f ca="1" t="shared" si="8"/>
        <v>34</v>
      </c>
      <c r="F23" s="21">
        <f ca="1" t="shared" si="8"/>
        <v>95</v>
      </c>
      <c r="G23" s="21">
        <f ca="1" t="shared" si="8"/>
        <v>19</v>
      </c>
      <c r="H23" s="21">
        <f ca="1" t="shared" si="8"/>
        <v>8</v>
      </c>
      <c r="I23" s="21">
        <f ca="1" t="shared" si="8"/>
        <v>12</v>
      </c>
      <c r="J23" s="21">
        <f ca="1" t="shared" si="8"/>
        <v>98</v>
      </c>
      <c r="K23" s="21">
        <f ca="1" t="shared" si="8"/>
        <v>64</v>
      </c>
      <c r="L23" s="21">
        <f ca="1" t="shared" si="8"/>
        <v>27</v>
      </c>
      <c r="M23" s="21">
        <f ca="1" t="shared" si="8"/>
        <v>52</v>
      </c>
      <c r="N23" s="21">
        <f ca="1" t="shared" si="8"/>
        <v>38</v>
      </c>
      <c r="O23" s="21">
        <f ca="1" t="shared" si="8"/>
        <v>7</v>
      </c>
      <c r="P23" s="21">
        <f ca="1" t="shared" si="8"/>
        <v>48</v>
      </c>
      <c r="Q23" s="21">
        <f ca="1" t="shared" si="8"/>
        <v>41</v>
      </c>
      <c r="R23" s="21">
        <f ca="1" t="shared" si="8"/>
        <v>63</v>
      </c>
      <c r="S23" s="21">
        <f ca="1" t="shared" si="8"/>
        <v>52</v>
      </c>
      <c r="T23" s="21">
        <f ca="1" t="shared" si="8"/>
        <v>25</v>
      </c>
      <c r="U23" s="21">
        <f ca="1" t="shared" si="8"/>
        <v>48</v>
      </c>
      <c r="V23" s="21">
        <f ca="1" t="shared" si="8"/>
        <v>8</v>
      </c>
      <c r="W23" s="21">
        <f ca="1" t="shared" si="8"/>
        <v>67</v>
      </c>
      <c r="X23" s="21">
        <f ca="1" t="shared" si="8"/>
        <v>69</v>
      </c>
      <c r="Y23" s="21">
        <f ca="1" t="shared" si="8"/>
        <v>59</v>
      </c>
      <c r="Z23" s="21">
        <f ca="1" t="shared" si="8"/>
        <v>54</v>
      </c>
      <c r="AA23" s="21">
        <f ca="1" t="shared" si="8"/>
        <v>8</v>
      </c>
      <c r="AB23" s="21">
        <f ca="1" t="shared" si="8"/>
        <v>95</v>
      </c>
      <c r="AC23" s="21">
        <f ca="1" t="shared" si="8"/>
        <v>49</v>
      </c>
      <c r="AD23" s="21">
        <f ca="1" t="shared" si="8"/>
        <v>40</v>
      </c>
      <c r="AE23" s="21">
        <f ca="1" t="shared" si="8"/>
        <v>39</v>
      </c>
      <c r="AF23" s="21">
        <f ca="1" t="shared" si="8"/>
        <v>52</v>
      </c>
    </row>
    <row r="24" ht="15" customHeight="1" spans="1:32">
      <c r="A24" s="20" t="s">
        <v>12</v>
      </c>
      <c r="B24" s="21">
        <f ca="1" t="shared" ref="B24:AF24" si="9">RANDBETWEEN(1,100)</f>
        <v>10</v>
      </c>
      <c r="C24" s="21">
        <f ca="1" t="shared" si="9"/>
        <v>21</v>
      </c>
      <c r="D24" s="21">
        <f ca="1" t="shared" si="9"/>
        <v>62</v>
      </c>
      <c r="E24" s="21">
        <f ca="1" t="shared" si="9"/>
        <v>59</v>
      </c>
      <c r="F24" s="21">
        <f ca="1" t="shared" si="9"/>
        <v>58</v>
      </c>
      <c r="G24" s="21">
        <f ca="1" t="shared" si="9"/>
        <v>15</v>
      </c>
      <c r="H24" s="21">
        <f ca="1" t="shared" si="9"/>
        <v>29</v>
      </c>
      <c r="I24" s="21">
        <f ca="1" t="shared" si="9"/>
        <v>29</v>
      </c>
      <c r="J24" s="21">
        <f ca="1" t="shared" si="9"/>
        <v>6</v>
      </c>
      <c r="K24" s="21">
        <f ca="1" t="shared" si="9"/>
        <v>36</v>
      </c>
      <c r="L24" s="21">
        <f ca="1" t="shared" si="9"/>
        <v>95</v>
      </c>
      <c r="M24" s="21">
        <f ca="1" t="shared" si="9"/>
        <v>1</v>
      </c>
      <c r="N24" s="21">
        <f ca="1" t="shared" si="9"/>
        <v>43</v>
      </c>
      <c r="O24" s="21">
        <f ca="1" t="shared" si="9"/>
        <v>64</v>
      </c>
      <c r="P24" s="21">
        <f ca="1" t="shared" si="9"/>
        <v>74</v>
      </c>
      <c r="Q24" s="21">
        <f ca="1" t="shared" si="9"/>
        <v>62</v>
      </c>
      <c r="R24" s="21">
        <f ca="1" t="shared" si="9"/>
        <v>8</v>
      </c>
      <c r="S24" s="21">
        <f ca="1" t="shared" si="9"/>
        <v>92</v>
      </c>
      <c r="T24" s="21">
        <f ca="1" t="shared" si="9"/>
        <v>7</v>
      </c>
      <c r="U24" s="21">
        <f ca="1" t="shared" si="9"/>
        <v>9</v>
      </c>
      <c r="V24" s="21">
        <f ca="1" t="shared" si="9"/>
        <v>48</v>
      </c>
      <c r="W24" s="21">
        <f ca="1" t="shared" si="9"/>
        <v>26</v>
      </c>
      <c r="X24" s="21">
        <f ca="1" t="shared" si="9"/>
        <v>82</v>
      </c>
      <c r="Y24" s="21">
        <f ca="1" t="shared" si="9"/>
        <v>88</v>
      </c>
      <c r="Z24" s="21">
        <f ca="1" t="shared" si="9"/>
        <v>66</v>
      </c>
      <c r="AA24" s="21">
        <f ca="1" t="shared" si="9"/>
        <v>34</v>
      </c>
      <c r="AB24" s="21">
        <f ca="1" t="shared" si="9"/>
        <v>66</v>
      </c>
      <c r="AC24" s="21">
        <f ca="1" t="shared" si="9"/>
        <v>24</v>
      </c>
      <c r="AD24" s="21">
        <f ca="1" t="shared" si="9"/>
        <v>43</v>
      </c>
      <c r="AE24" s="21">
        <f ca="1" t="shared" si="9"/>
        <v>71</v>
      </c>
      <c r="AF24" s="21">
        <f ca="1" t="shared" si="9"/>
        <v>51</v>
      </c>
    </row>
    <row r="25" ht="15" customHeight="1" spans="1:32">
      <c r="A25" s="20" t="s">
        <v>13</v>
      </c>
      <c r="B25" s="21">
        <f ca="1" t="shared" ref="B25:AF25" si="10">RANDBETWEEN(1,100)</f>
        <v>86</v>
      </c>
      <c r="C25" s="21">
        <f ca="1" t="shared" si="10"/>
        <v>47</v>
      </c>
      <c r="D25" s="21">
        <f ca="1" t="shared" si="10"/>
        <v>78</v>
      </c>
      <c r="E25" s="21">
        <f ca="1" t="shared" si="10"/>
        <v>21</v>
      </c>
      <c r="F25" s="21">
        <f ca="1" t="shared" si="10"/>
        <v>74</v>
      </c>
      <c r="G25" s="21">
        <f ca="1" t="shared" si="10"/>
        <v>89</v>
      </c>
      <c r="H25" s="21">
        <f ca="1" t="shared" si="10"/>
        <v>83</v>
      </c>
      <c r="I25" s="21">
        <f ca="1" t="shared" si="10"/>
        <v>51</v>
      </c>
      <c r="J25" s="21">
        <f ca="1" t="shared" si="10"/>
        <v>98</v>
      </c>
      <c r="K25" s="21">
        <f ca="1" t="shared" si="10"/>
        <v>93</v>
      </c>
      <c r="L25" s="21">
        <f ca="1" t="shared" si="10"/>
        <v>57</v>
      </c>
      <c r="M25" s="21">
        <f ca="1" t="shared" si="10"/>
        <v>8</v>
      </c>
      <c r="N25" s="21">
        <f ca="1" t="shared" si="10"/>
        <v>20</v>
      </c>
      <c r="O25" s="21">
        <f ca="1" t="shared" si="10"/>
        <v>43</v>
      </c>
      <c r="P25" s="21">
        <f ca="1" t="shared" si="10"/>
        <v>10</v>
      </c>
      <c r="Q25" s="21">
        <f ca="1" t="shared" si="10"/>
        <v>28</v>
      </c>
      <c r="R25" s="21">
        <f ca="1" t="shared" si="10"/>
        <v>48</v>
      </c>
      <c r="S25" s="21">
        <f ca="1" t="shared" si="10"/>
        <v>65</v>
      </c>
      <c r="T25" s="21">
        <f ca="1" t="shared" si="10"/>
        <v>32</v>
      </c>
      <c r="U25" s="21">
        <f ca="1" t="shared" si="10"/>
        <v>10</v>
      </c>
      <c r="V25" s="21">
        <f ca="1" t="shared" si="10"/>
        <v>43</v>
      </c>
      <c r="W25" s="21">
        <f ca="1" t="shared" si="10"/>
        <v>24</v>
      </c>
      <c r="X25" s="21">
        <f ca="1" t="shared" si="10"/>
        <v>76</v>
      </c>
      <c r="Y25" s="21">
        <f ca="1" t="shared" si="10"/>
        <v>30</v>
      </c>
      <c r="Z25" s="21">
        <f ca="1" t="shared" si="10"/>
        <v>87</v>
      </c>
      <c r="AA25" s="21">
        <f ca="1" t="shared" si="10"/>
        <v>83</v>
      </c>
      <c r="AB25" s="21">
        <f ca="1" t="shared" si="10"/>
        <v>10</v>
      </c>
      <c r="AC25" s="21">
        <f ca="1" t="shared" si="10"/>
        <v>96</v>
      </c>
      <c r="AD25" s="21">
        <f ca="1" t="shared" si="10"/>
        <v>50</v>
      </c>
      <c r="AE25" s="21">
        <f ca="1" t="shared" si="10"/>
        <v>11</v>
      </c>
      <c r="AF25" s="21">
        <f ca="1" t="shared" si="10"/>
        <v>39</v>
      </c>
    </row>
    <row r="26" ht="15" customHeight="1" spans="1:32">
      <c r="A26" s="20" t="s">
        <v>14</v>
      </c>
      <c r="B26" s="21">
        <f ca="1" t="shared" ref="B26:AF26" si="11">RANDBETWEEN(1,100)</f>
        <v>14</v>
      </c>
      <c r="C26" s="21">
        <f ca="1" t="shared" si="11"/>
        <v>13</v>
      </c>
      <c r="D26" s="21">
        <f ca="1" t="shared" si="11"/>
        <v>32</v>
      </c>
      <c r="E26" s="21">
        <f ca="1" t="shared" si="11"/>
        <v>25</v>
      </c>
      <c r="F26" s="21">
        <f ca="1" t="shared" si="11"/>
        <v>18</v>
      </c>
      <c r="G26" s="21">
        <f ca="1" t="shared" si="11"/>
        <v>2</v>
      </c>
      <c r="H26" s="21">
        <f ca="1" t="shared" si="11"/>
        <v>79</v>
      </c>
      <c r="I26" s="21">
        <f ca="1" t="shared" si="11"/>
        <v>94</v>
      </c>
      <c r="J26" s="21">
        <f ca="1" t="shared" si="11"/>
        <v>74</v>
      </c>
      <c r="K26" s="21">
        <f ca="1" t="shared" si="11"/>
        <v>74</v>
      </c>
      <c r="L26" s="21">
        <f ca="1" t="shared" si="11"/>
        <v>34</v>
      </c>
      <c r="M26" s="21">
        <f ca="1" t="shared" si="11"/>
        <v>66</v>
      </c>
      <c r="N26" s="21">
        <f ca="1" t="shared" si="11"/>
        <v>94</v>
      </c>
      <c r="O26" s="21">
        <f ca="1" t="shared" si="11"/>
        <v>54</v>
      </c>
      <c r="P26" s="21">
        <f ca="1" t="shared" si="11"/>
        <v>27</v>
      </c>
      <c r="Q26" s="21">
        <f ca="1" t="shared" si="11"/>
        <v>25</v>
      </c>
      <c r="R26" s="21">
        <f ca="1" t="shared" si="11"/>
        <v>31</v>
      </c>
      <c r="S26" s="21">
        <f ca="1" t="shared" si="11"/>
        <v>22</v>
      </c>
      <c r="T26" s="21">
        <f ca="1" t="shared" si="11"/>
        <v>97</v>
      </c>
      <c r="U26" s="21">
        <f ca="1" t="shared" si="11"/>
        <v>67</v>
      </c>
      <c r="V26" s="21">
        <f ca="1" t="shared" si="11"/>
        <v>97</v>
      </c>
      <c r="W26" s="21">
        <f ca="1" t="shared" si="11"/>
        <v>61</v>
      </c>
      <c r="X26" s="21">
        <f ca="1" t="shared" si="11"/>
        <v>16</v>
      </c>
      <c r="Y26" s="21">
        <f ca="1" t="shared" si="11"/>
        <v>60</v>
      </c>
      <c r="Z26" s="21">
        <f ca="1" t="shared" si="11"/>
        <v>71</v>
      </c>
      <c r="AA26" s="21">
        <f ca="1" t="shared" si="11"/>
        <v>64</v>
      </c>
      <c r="AB26" s="21">
        <f ca="1" t="shared" si="11"/>
        <v>76</v>
      </c>
      <c r="AC26" s="21">
        <f ca="1" t="shared" si="11"/>
        <v>20</v>
      </c>
      <c r="AD26" s="21">
        <f ca="1" t="shared" si="11"/>
        <v>97</v>
      </c>
      <c r="AE26" s="21">
        <f ca="1" t="shared" si="11"/>
        <v>75</v>
      </c>
      <c r="AF26" s="21">
        <f ca="1" t="shared" si="11"/>
        <v>60</v>
      </c>
    </row>
    <row r="27" ht="15" customHeight="1" spans="1:32">
      <c r="A27" s="20" t="s">
        <v>15</v>
      </c>
      <c r="B27" s="21">
        <f ca="1" t="shared" ref="B27:AF27" si="12">RANDBETWEEN(1,100)</f>
        <v>55</v>
      </c>
      <c r="C27" s="21">
        <f ca="1" t="shared" si="12"/>
        <v>41</v>
      </c>
      <c r="D27" s="21">
        <f ca="1" t="shared" si="12"/>
        <v>79</v>
      </c>
      <c r="E27" s="21">
        <f ca="1" t="shared" si="12"/>
        <v>31</v>
      </c>
      <c r="F27" s="21">
        <f ca="1" t="shared" si="12"/>
        <v>80</v>
      </c>
      <c r="G27" s="21">
        <f ca="1" t="shared" si="12"/>
        <v>39</v>
      </c>
      <c r="H27" s="21">
        <f ca="1" t="shared" si="12"/>
        <v>70</v>
      </c>
      <c r="I27" s="21">
        <f ca="1" t="shared" si="12"/>
        <v>7</v>
      </c>
      <c r="J27" s="21">
        <f ca="1" t="shared" si="12"/>
        <v>19</v>
      </c>
      <c r="K27" s="21">
        <f ca="1" t="shared" si="12"/>
        <v>82</v>
      </c>
      <c r="L27" s="21">
        <f ca="1" t="shared" si="12"/>
        <v>51</v>
      </c>
      <c r="M27" s="21">
        <f ca="1" t="shared" si="12"/>
        <v>10</v>
      </c>
      <c r="N27" s="21">
        <f ca="1" t="shared" si="12"/>
        <v>7</v>
      </c>
      <c r="O27" s="21">
        <f ca="1" t="shared" si="12"/>
        <v>96</v>
      </c>
      <c r="P27" s="21">
        <f ca="1" t="shared" si="12"/>
        <v>29</v>
      </c>
      <c r="Q27" s="21">
        <f ca="1" t="shared" si="12"/>
        <v>29</v>
      </c>
      <c r="R27" s="21">
        <f ca="1" t="shared" si="12"/>
        <v>96</v>
      </c>
      <c r="S27" s="21">
        <f ca="1" t="shared" si="12"/>
        <v>85</v>
      </c>
      <c r="T27" s="21">
        <f ca="1" t="shared" si="12"/>
        <v>74</v>
      </c>
      <c r="U27" s="21">
        <f ca="1" t="shared" si="12"/>
        <v>90</v>
      </c>
      <c r="V27" s="21">
        <f ca="1" t="shared" si="12"/>
        <v>36</v>
      </c>
      <c r="W27" s="21">
        <f ca="1" t="shared" si="12"/>
        <v>40</v>
      </c>
      <c r="X27" s="21">
        <f ca="1" t="shared" si="12"/>
        <v>41</v>
      </c>
      <c r="Y27" s="21">
        <f ca="1" t="shared" si="12"/>
        <v>17</v>
      </c>
      <c r="Z27" s="21">
        <f ca="1" t="shared" si="12"/>
        <v>64</v>
      </c>
      <c r="AA27" s="21">
        <f ca="1" t="shared" si="12"/>
        <v>87</v>
      </c>
      <c r="AB27" s="21">
        <f ca="1" t="shared" si="12"/>
        <v>63</v>
      </c>
      <c r="AC27" s="21">
        <f ca="1" t="shared" si="12"/>
        <v>58</v>
      </c>
      <c r="AD27" s="21">
        <f ca="1" t="shared" si="12"/>
        <v>94</v>
      </c>
      <c r="AE27" s="21">
        <f ca="1" t="shared" si="12"/>
        <v>81</v>
      </c>
      <c r="AF27" s="21">
        <f ca="1" t="shared" si="12"/>
        <v>34</v>
      </c>
    </row>
    <row r="28" ht="15" customHeight="1" spans="1:32">
      <c r="A28" s="20" t="s">
        <v>16</v>
      </c>
      <c r="B28" s="21">
        <f ca="1" t="shared" ref="B28:AF28" si="13">RANDBETWEEN(1,100)</f>
        <v>98</v>
      </c>
      <c r="C28" s="21">
        <f ca="1" t="shared" si="13"/>
        <v>80</v>
      </c>
      <c r="D28" s="21">
        <f ca="1" t="shared" si="13"/>
        <v>75</v>
      </c>
      <c r="E28" s="21">
        <f ca="1" t="shared" si="13"/>
        <v>39</v>
      </c>
      <c r="F28" s="21">
        <f ca="1" t="shared" si="13"/>
        <v>48</v>
      </c>
      <c r="G28" s="21">
        <f ca="1" t="shared" si="13"/>
        <v>94</v>
      </c>
      <c r="H28" s="21">
        <f ca="1" t="shared" si="13"/>
        <v>60</v>
      </c>
      <c r="I28" s="21">
        <f ca="1" t="shared" si="13"/>
        <v>14</v>
      </c>
      <c r="J28" s="21">
        <f ca="1" t="shared" si="13"/>
        <v>87</v>
      </c>
      <c r="K28" s="21">
        <f ca="1" t="shared" si="13"/>
        <v>74</v>
      </c>
      <c r="L28" s="21">
        <f ca="1" t="shared" si="13"/>
        <v>32</v>
      </c>
      <c r="M28" s="21">
        <f ca="1" t="shared" si="13"/>
        <v>95</v>
      </c>
      <c r="N28" s="21">
        <f ca="1" t="shared" si="13"/>
        <v>85</v>
      </c>
      <c r="O28" s="21">
        <f ca="1" t="shared" si="13"/>
        <v>73</v>
      </c>
      <c r="P28" s="21">
        <f ca="1" t="shared" si="13"/>
        <v>95</v>
      </c>
      <c r="Q28" s="21">
        <f ca="1" t="shared" si="13"/>
        <v>25</v>
      </c>
      <c r="R28" s="21">
        <f ca="1" t="shared" si="13"/>
        <v>74</v>
      </c>
      <c r="S28" s="21">
        <f ca="1" t="shared" si="13"/>
        <v>83</v>
      </c>
      <c r="T28" s="21">
        <f ca="1" t="shared" si="13"/>
        <v>25</v>
      </c>
      <c r="U28" s="21">
        <f ca="1" t="shared" si="13"/>
        <v>66</v>
      </c>
      <c r="V28" s="21">
        <f ca="1" t="shared" si="13"/>
        <v>68</v>
      </c>
      <c r="W28" s="21">
        <f ca="1" t="shared" si="13"/>
        <v>74</v>
      </c>
      <c r="X28" s="21">
        <f ca="1" t="shared" si="13"/>
        <v>90</v>
      </c>
      <c r="Y28" s="21">
        <f ca="1" t="shared" si="13"/>
        <v>31</v>
      </c>
      <c r="Z28" s="21">
        <f ca="1" t="shared" si="13"/>
        <v>58</v>
      </c>
      <c r="AA28" s="21">
        <f ca="1" t="shared" si="13"/>
        <v>15</v>
      </c>
      <c r="AB28" s="21">
        <f ca="1" t="shared" si="13"/>
        <v>4</v>
      </c>
      <c r="AC28" s="21">
        <f ca="1" t="shared" si="13"/>
        <v>34</v>
      </c>
      <c r="AD28" s="21">
        <f ca="1" t="shared" si="13"/>
        <v>96</v>
      </c>
      <c r="AE28" s="21">
        <f ca="1" t="shared" si="13"/>
        <v>33</v>
      </c>
      <c r="AF28" s="21">
        <f ca="1" t="shared" si="13"/>
        <v>7</v>
      </c>
    </row>
    <row r="29" ht="15" customHeight="1" spans="1:32">
      <c r="A29" s="20" t="s">
        <v>17</v>
      </c>
      <c r="B29" s="21">
        <f ca="1" t="shared" ref="B29:AF29" si="14">RANDBETWEEN(1,100)</f>
        <v>73</v>
      </c>
      <c r="C29" s="21">
        <f ca="1" t="shared" si="14"/>
        <v>54</v>
      </c>
      <c r="D29" s="21">
        <f ca="1" t="shared" si="14"/>
        <v>47</v>
      </c>
      <c r="E29" s="21">
        <f ca="1" t="shared" si="14"/>
        <v>39</v>
      </c>
      <c r="F29" s="21">
        <f ca="1" t="shared" si="14"/>
        <v>64</v>
      </c>
      <c r="G29" s="21">
        <f ca="1" t="shared" si="14"/>
        <v>9</v>
      </c>
      <c r="H29" s="21">
        <f ca="1" t="shared" si="14"/>
        <v>66</v>
      </c>
      <c r="I29" s="21">
        <f ca="1" t="shared" si="14"/>
        <v>30</v>
      </c>
      <c r="J29" s="21">
        <f ca="1" t="shared" si="14"/>
        <v>63</v>
      </c>
      <c r="K29" s="21">
        <f ca="1" t="shared" si="14"/>
        <v>59</v>
      </c>
      <c r="L29" s="21">
        <f ca="1" t="shared" si="14"/>
        <v>10</v>
      </c>
      <c r="M29" s="21">
        <f ca="1" t="shared" si="14"/>
        <v>27</v>
      </c>
      <c r="N29" s="21">
        <f ca="1" t="shared" si="14"/>
        <v>62</v>
      </c>
      <c r="O29" s="21">
        <f ca="1" t="shared" si="14"/>
        <v>29</v>
      </c>
      <c r="P29" s="21">
        <f ca="1" t="shared" si="14"/>
        <v>23</v>
      </c>
      <c r="Q29" s="21">
        <f ca="1" t="shared" si="14"/>
        <v>95</v>
      </c>
      <c r="R29" s="21">
        <f ca="1" t="shared" si="14"/>
        <v>100</v>
      </c>
      <c r="S29" s="21">
        <f ca="1" t="shared" si="14"/>
        <v>84</v>
      </c>
      <c r="T29" s="21">
        <f ca="1" t="shared" si="14"/>
        <v>100</v>
      </c>
      <c r="U29" s="21">
        <f ca="1" t="shared" si="14"/>
        <v>54</v>
      </c>
      <c r="V29" s="21">
        <f ca="1" t="shared" si="14"/>
        <v>98</v>
      </c>
      <c r="W29" s="21">
        <f ca="1" t="shared" si="14"/>
        <v>41</v>
      </c>
      <c r="X29" s="21">
        <f ca="1" t="shared" si="14"/>
        <v>38</v>
      </c>
      <c r="Y29" s="21">
        <f ca="1" t="shared" si="14"/>
        <v>40</v>
      </c>
      <c r="Z29" s="21">
        <f ca="1" t="shared" si="14"/>
        <v>46</v>
      </c>
      <c r="AA29" s="21">
        <f ca="1" t="shared" si="14"/>
        <v>16</v>
      </c>
      <c r="AB29" s="21">
        <f ca="1" t="shared" si="14"/>
        <v>62</v>
      </c>
      <c r="AC29" s="21">
        <f ca="1" t="shared" si="14"/>
        <v>37</v>
      </c>
      <c r="AD29" s="21">
        <f ca="1" t="shared" si="14"/>
        <v>57</v>
      </c>
      <c r="AE29" s="21">
        <f ca="1" t="shared" si="14"/>
        <v>78</v>
      </c>
      <c r="AF29" s="21">
        <f ca="1" t="shared" si="14"/>
        <v>66</v>
      </c>
    </row>
    <row r="30" ht="15" customHeight="1" spans="1:32">
      <c r="A30" s="20" t="s">
        <v>18</v>
      </c>
      <c r="B30" s="21">
        <f ca="1">RANDBETWEEN(100,500)</f>
        <v>265</v>
      </c>
      <c r="C30" s="21">
        <f ca="1" t="shared" ref="C30:AF30" si="15">RANDBETWEEN(150,500)</f>
        <v>442</v>
      </c>
      <c r="D30" s="21">
        <f ca="1" t="shared" si="15"/>
        <v>325</v>
      </c>
      <c r="E30" s="21">
        <f ca="1" t="shared" si="15"/>
        <v>404</v>
      </c>
      <c r="F30" s="21">
        <f ca="1" t="shared" si="15"/>
        <v>357</v>
      </c>
      <c r="G30" s="21">
        <f ca="1" t="shared" si="15"/>
        <v>393</v>
      </c>
      <c r="H30" s="21">
        <f ca="1" t="shared" si="15"/>
        <v>233</v>
      </c>
      <c r="I30" s="21">
        <f ca="1" t="shared" si="15"/>
        <v>471</v>
      </c>
      <c r="J30" s="21">
        <f ca="1" t="shared" si="15"/>
        <v>411</v>
      </c>
      <c r="K30" s="21">
        <f ca="1" t="shared" si="15"/>
        <v>186</v>
      </c>
      <c r="L30" s="21">
        <f ca="1" t="shared" si="15"/>
        <v>368</v>
      </c>
      <c r="M30" s="21">
        <f ca="1" t="shared" si="15"/>
        <v>212</v>
      </c>
      <c r="N30" s="21">
        <f ca="1" t="shared" si="15"/>
        <v>248</v>
      </c>
      <c r="O30" s="21">
        <f ca="1" t="shared" si="15"/>
        <v>450</v>
      </c>
      <c r="P30" s="21">
        <f ca="1" t="shared" si="15"/>
        <v>240</v>
      </c>
      <c r="Q30" s="21">
        <f ca="1" t="shared" si="15"/>
        <v>320</v>
      </c>
      <c r="R30" s="21">
        <f ca="1" t="shared" si="15"/>
        <v>336</v>
      </c>
      <c r="S30" s="21">
        <f ca="1" t="shared" si="15"/>
        <v>368</v>
      </c>
      <c r="T30" s="21">
        <f ca="1" t="shared" si="15"/>
        <v>462</v>
      </c>
      <c r="U30" s="21">
        <f ca="1" t="shared" si="15"/>
        <v>171</v>
      </c>
      <c r="V30" s="21">
        <f ca="1" t="shared" si="15"/>
        <v>301</v>
      </c>
      <c r="W30" s="21">
        <f ca="1" t="shared" si="15"/>
        <v>437</v>
      </c>
      <c r="X30" s="21">
        <f ca="1" t="shared" si="15"/>
        <v>163</v>
      </c>
      <c r="Y30" s="21">
        <f ca="1" t="shared" si="15"/>
        <v>271</v>
      </c>
      <c r="Z30" s="21">
        <f ca="1" t="shared" si="15"/>
        <v>423</v>
      </c>
      <c r="AA30" s="21">
        <f ca="1" t="shared" si="15"/>
        <v>403</v>
      </c>
      <c r="AB30" s="21">
        <f ca="1" t="shared" si="15"/>
        <v>441</v>
      </c>
      <c r="AC30" s="21">
        <f ca="1" t="shared" si="15"/>
        <v>477</v>
      </c>
      <c r="AD30" s="21">
        <f ca="1" t="shared" si="15"/>
        <v>300</v>
      </c>
      <c r="AE30" s="21">
        <f ca="1" t="shared" si="15"/>
        <v>193</v>
      </c>
      <c r="AF30" s="21">
        <f ca="1" t="shared" si="15"/>
        <v>269</v>
      </c>
    </row>
    <row r="31" ht="15" customHeight="1" spans="1:32">
      <c r="A31" s="18" t="s">
        <v>19</v>
      </c>
      <c r="B31" s="21">
        <f ca="1" t="shared" ref="B31:AF31" si="16">SUM(B15:B30)</f>
        <v>1047</v>
      </c>
      <c r="C31" s="21">
        <f ca="1" t="shared" si="16"/>
        <v>1078</v>
      </c>
      <c r="D31" s="21">
        <f ca="1" t="shared" si="16"/>
        <v>1081</v>
      </c>
      <c r="E31" s="21">
        <f ca="1" t="shared" si="16"/>
        <v>937</v>
      </c>
      <c r="F31" s="21">
        <f ca="1" t="shared" si="16"/>
        <v>1276</v>
      </c>
      <c r="G31" s="21">
        <f ca="1" t="shared" si="16"/>
        <v>1134</v>
      </c>
      <c r="H31" s="21">
        <f ca="1" t="shared" si="16"/>
        <v>1067</v>
      </c>
      <c r="I31" s="21">
        <f ca="1" t="shared" si="16"/>
        <v>1043</v>
      </c>
      <c r="J31" s="21">
        <f ca="1" t="shared" si="16"/>
        <v>1274</v>
      </c>
      <c r="K31" s="21">
        <f ca="1" t="shared" si="16"/>
        <v>1091</v>
      </c>
      <c r="L31" s="21">
        <f ca="1" t="shared" si="16"/>
        <v>875</v>
      </c>
      <c r="M31" s="21">
        <f ca="1" t="shared" si="16"/>
        <v>862</v>
      </c>
      <c r="N31" s="21">
        <f ca="1" t="shared" si="16"/>
        <v>941</v>
      </c>
      <c r="O31" s="21">
        <f ca="1" t="shared" si="16"/>
        <v>1230</v>
      </c>
      <c r="P31" s="21">
        <f ca="1" t="shared" si="16"/>
        <v>892</v>
      </c>
      <c r="Q31" s="21">
        <f ca="1" t="shared" si="16"/>
        <v>1108</v>
      </c>
      <c r="R31" s="21">
        <f ca="1" t="shared" si="16"/>
        <v>1258</v>
      </c>
      <c r="S31" s="21">
        <f ca="1" t="shared" si="16"/>
        <v>1227</v>
      </c>
      <c r="T31" s="21">
        <f ca="1" t="shared" si="16"/>
        <v>1250</v>
      </c>
      <c r="U31" s="21">
        <f ca="1" t="shared" si="16"/>
        <v>844</v>
      </c>
      <c r="V31" s="21">
        <f ca="1" t="shared" si="16"/>
        <v>1172</v>
      </c>
      <c r="W31" s="21">
        <f ca="1" t="shared" si="16"/>
        <v>1268</v>
      </c>
      <c r="X31" s="21">
        <f ca="1" t="shared" si="16"/>
        <v>980</v>
      </c>
      <c r="Y31" s="21">
        <f ca="1" t="shared" si="16"/>
        <v>933</v>
      </c>
      <c r="Z31" s="21">
        <f ca="1" t="shared" si="16"/>
        <v>1333</v>
      </c>
      <c r="AA31" s="21">
        <f ca="1" t="shared" si="16"/>
        <v>971</v>
      </c>
      <c r="AB31" s="21">
        <f ca="1" t="shared" si="16"/>
        <v>1329</v>
      </c>
      <c r="AC31" s="21">
        <f ca="1" t="shared" si="16"/>
        <v>1092</v>
      </c>
      <c r="AD31" s="21">
        <f ca="1" t="shared" si="16"/>
        <v>1136</v>
      </c>
      <c r="AE31" s="21">
        <f ca="1" t="shared" si="16"/>
        <v>1128</v>
      </c>
      <c r="AF31" s="21">
        <f ca="1" t="shared" si="16"/>
        <v>954</v>
      </c>
    </row>
    <row r="33" spans="1:10">
      <c r="A33" s="18" t="s">
        <v>20</v>
      </c>
      <c r="B33" s="18" t="s">
        <v>21</v>
      </c>
      <c r="C33" s="18" t="s">
        <v>22</v>
      </c>
      <c r="D33" s="22" t="s">
        <v>23</v>
      </c>
      <c r="E33" s="23"/>
      <c r="G33" s="18" t="s">
        <v>24</v>
      </c>
      <c r="H33" s="18" t="s">
        <v>25</v>
      </c>
      <c r="I33" s="18" t="s">
        <v>26</v>
      </c>
      <c r="J33" s="18" t="s">
        <v>27</v>
      </c>
    </row>
    <row r="34" spans="1:10">
      <c r="A34" s="21">
        <f ca="1">INT(SUM(B36:AF36)/COUNT(B36:AF36))</f>
        <v>1090</v>
      </c>
      <c r="B34" s="21">
        <f ca="1">MIN(B36:AF36)</f>
        <v>844</v>
      </c>
      <c r="C34" s="21">
        <f ca="1">MAX(B36:AF36)</f>
        <v>1333</v>
      </c>
      <c r="D34" s="24">
        <f ca="1">SMALL(B36:AF36,3)</f>
        <v>875</v>
      </c>
      <c r="E34" s="25"/>
      <c r="G34" s="21">
        <f ca="1">SUM(B31:K31)</f>
        <v>11028</v>
      </c>
      <c r="H34" s="21">
        <f ca="1">SUM(L31:U31)</f>
        <v>10487</v>
      </c>
      <c r="I34" s="21">
        <f ca="1">SUM(V31:AF31)</f>
        <v>12296</v>
      </c>
      <c r="J34" s="21">
        <f ca="1">SUM(31:31)</f>
        <v>33811</v>
      </c>
    </row>
    <row r="36" spans="1:32">
      <c r="A36" s="18" t="s">
        <v>28</v>
      </c>
      <c r="B36" s="21">
        <f ca="1" t="shared" ref="B36:AF36" si="17">B31</f>
        <v>1047</v>
      </c>
      <c r="C36" s="21">
        <f ca="1" t="shared" si="17"/>
        <v>1078</v>
      </c>
      <c r="D36" s="21">
        <f ca="1" t="shared" si="17"/>
        <v>1081</v>
      </c>
      <c r="E36" s="21">
        <f ca="1" t="shared" si="17"/>
        <v>937</v>
      </c>
      <c r="F36" s="21">
        <f ca="1" t="shared" si="17"/>
        <v>1276</v>
      </c>
      <c r="G36" s="21">
        <f ca="1" t="shared" si="17"/>
        <v>1134</v>
      </c>
      <c r="H36" s="21">
        <f ca="1" t="shared" si="17"/>
        <v>1067</v>
      </c>
      <c r="I36" s="21">
        <f ca="1" t="shared" si="17"/>
        <v>1043</v>
      </c>
      <c r="J36" s="21">
        <f ca="1" t="shared" si="17"/>
        <v>1274</v>
      </c>
      <c r="K36" s="21">
        <f ca="1" t="shared" si="17"/>
        <v>1091</v>
      </c>
      <c r="L36" s="21">
        <f ca="1" t="shared" si="17"/>
        <v>875</v>
      </c>
      <c r="M36" s="21">
        <f ca="1" t="shared" si="17"/>
        <v>862</v>
      </c>
      <c r="N36" s="21">
        <f ca="1" t="shared" si="17"/>
        <v>941</v>
      </c>
      <c r="O36" s="21">
        <f ca="1" t="shared" si="17"/>
        <v>1230</v>
      </c>
      <c r="P36" s="21">
        <f ca="1" t="shared" si="17"/>
        <v>892</v>
      </c>
      <c r="Q36" s="21">
        <f ca="1" t="shared" si="17"/>
        <v>1108</v>
      </c>
      <c r="R36" s="21">
        <f ca="1" t="shared" si="17"/>
        <v>1258</v>
      </c>
      <c r="S36" s="21">
        <f ca="1" t="shared" si="17"/>
        <v>1227</v>
      </c>
      <c r="T36" s="21">
        <f ca="1" t="shared" si="17"/>
        <v>1250</v>
      </c>
      <c r="U36" s="21">
        <f ca="1" t="shared" si="17"/>
        <v>844</v>
      </c>
      <c r="V36" s="21">
        <f ca="1" t="shared" si="17"/>
        <v>1172</v>
      </c>
      <c r="W36" s="21">
        <f ca="1" t="shared" si="17"/>
        <v>1268</v>
      </c>
      <c r="X36" s="21">
        <f ca="1" t="shared" si="17"/>
        <v>980</v>
      </c>
      <c r="Y36" s="21">
        <f ca="1" t="shared" si="17"/>
        <v>933</v>
      </c>
      <c r="Z36" s="21">
        <f ca="1" t="shared" si="17"/>
        <v>1333</v>
      </c>
      <c r="AA36" s="21">
        <f ca="1" t="shared" si="17"/>
        <v>971</v>
      </c>
      <c r="AB36" s="21">
        <f ca="1" t="shared" si="17"/>
        <v>1329</v>
      </c>
      <c r="AC36" s="21">
        <f ca="1" t="shared" si="17"/>
        <v>1092</v>
      </c>
      <c r="AD36" s="21">
        <f ca="1" t="shared" si="17"/>
        <v>1136</v>
      </c>
      <c r="AE36" s="21">
        <f ca="1" t="shared" si="17"/>
        <v>1128</v>
      </c>
      <c r="AF36" s="21">
        <f ca="1" t="shared" si="17"/>
        <v>954</v>
      </c>
    </row>
    <row r="37" spans="1:32">
      <c r="A37" s="18" t="s">
        <v>29</v>
      </c>
      <c r="B37" s="21">
        <f ca="1">INT(SUM(B36:AF36)/COUNT(B36:AF36))</f>
        <v>1090</v>
      </c>
      <c r="C37" s="21">
        <f ca="1">INT(SUM(B36:AF36)/COUNT(B36:AF36))</f>
        <v>1090</v>
      </c>
      <c r="D37" s="21">
        <f ca="1">INT(SUM(B36:AF36)/COUNT(B36:AF36))</f>
        <v>1090</v>
      </c>
      <c r="E37" s="21">
        <f ca="1">INT(SUM(B36:AF36)/COUNT(B36:AF36))</f>
        <v>1090</v>
      </c>
      <c r="F37" s="21">
        <f ca="1">INT(SUM(B36:AF36)/COUNT(B36:AF36))</f>
        <v>1090</v>
      </c>
      <c r="G37" s="21">
        <f ca="1">INT(SUM(B36:AF36)/COUNT(B36:AF36))</f>
        <v>1090</v>
      </c>
      <c r="H37" s="21">
        <f ca="1">INT(SUM(B36:AF36)/COUNT(B36:AF36))</f>
        <v>1090</v>
      </c>
      <c r="I37" s="21">
        <f ca="1">INT(SUM(B36:AF36)/COUNT(B36:AF36))</f>
        <v>1090</v>
      </c>
      <c r="J37" s="21">
        <f ca="1">INT(SUM(B36:AF36)/COUNT(B36:AF36))</f>
        <v>1090</v>
      </c>
      <c r="K37" s="21">
        <f ca="1">INT(SUM(B36:AF36)/COUNT(B36:AF36))</f>
        <v>1090</v>
      </c>
      <c r="L37" s="21">
        <f ca="1">INT(SUM(B36:AF36)/COUNT(B36:AF36))</f>
        <v>1090</v>
      </c>
      <c r="M37" s="21">
        <f ca="1">INT(SUM(B36:AF36)/COUNT(B36:AF36))</f>
        <v>1090</v>
      </c>
      <c r="N37" s="21">
        <f ca="1">INT(SUM(B36:AF36)/COUNT(B36:AF36))</f>
        <v>1090</v>
      </c>
      <c r="O37" s="21">
        <f ca="1">INT(SUM(B36:AF36)/COUNT(B36:AF36))</f>
        <v>1090</v>
      </c>
      <c r="P37" s="21">
        <f ca="1">INT(SUM(B36:AF36)/COUNT(B36:AF36))</f>
        <v>1090</v>
      </c>
      <c r="Q37" s="21">
        <f ca="1">INT(SUM(B36:AF36)/COUNT(B36:AF36))</f>
        <v>1090</v>
      </c>
      <c r="R37" s="21">
        <f ca="1">INT(SUM(B36:AF36)/COUNT(B36:AF36))</f>
        <v>1090</v>
      </c>
      <c r="S37" s="21">
        <f ca="1">INT(SUM(B36:AF36)/COUNT(B36:AF36))</f>
        <v>1090</v>
      </c>
      <c r="T37" s="21">
        <f ca="1">INT(SUM(B36:AF36)/COUNT(B36:AF36))</f>
        <v>1090</v>
      </c>
      <c r="U37" s="21">
        <f ca="1">INT(SUM(B36:AF36)/COUNT(B36:AF36))</f>
        <v>1090</v>
      </c>
      <c r="V37" s="21">
        <f ca="1">INT(SUM(B36:AF36)/COUNT(B36:AF36))</f>
        <v>1090</v>
      </c>
      <c r="W37" s="21">
        <f ca="1">INT(SUM(B36:AF36)/COUNT(B36:AF36))</f>
        <v>1090</v>
      </c>
      <c r="X37" s="21">
        <f ca="1">INT(SUM(B36:AF36)/COUNT(B36:AF36))</f>
        <v>1090</v>
      </c>
      <c r="Y37" s="21">
        <f ca="1">INT(SUM(B36:AF36)/COUNT(B36:AF36))</f>
        <v>1090</v>
      </c>
      <c r="Z37" s="21">
        <f ca="1">INT(SUM(B36:AF36)/COUNT(B36:AF36))</f>
        <v>1090</v>
      </c>
      <c r="AA37" s="21">
        <f ca="1">INT(SUM(B36:AF36)/COUNT(B36:AF36))</f>
        <v>1090</v>
      </c>
      <c r="AB37" s="21">
        <f ca="1">INT(SUM(B36:AF36)/COUNT(B36:AF36))</f>
        <v>1090</v>
      </c>
      <c r="AC37" s="21">
        <f ca="1">INT(SUM(B36:AF36)/COUNT(B36:AF36))</f>
        <v>1090</v>
      </c>
      <c r="AD37" s="21">
        <f ca="1">INT(SUM(B36:AF36)/COUNT(B36:AF36))</f>
        <v>1090</v>
      </c>
      <c r="AE37" s="21">
        <f ca="1">INT(SUM(B36:AF36)/COUNT(B36:AF36))</f>
        <v>1090</v>
      </c>
      <c r="AF37" s="21">
        <f ca="1">INT(SUM(B36:AF36)/COUNT(B36:AF36))</f>
        <v>1090</v>
      </c>
    </row>
    <row r="38" spans="1:32">
      <c r="A38" s="18" t="s">
        <v>30</v>
      </c>
      <c r="B38" s="21" t="e">
        <f ca="1" t="shared" ref="B38:AF38" si="18">IF(B36&gt;B37,B36,NA())</f>
        <v>#N/A</v>
      </c>
      <c r="C38" s="21" t="e">
        <f ca="1" t="shared" si="18"/>
        <v>#N/A</v>
      </c>
      <c r="D38" s="21" t="e">
        <f ca="1" t="shared" si="18"/>
        <v>#N/A</v>
      </c>
      <c r="E38" s="21" t="e">
        <f ca="1" t="shared" si="18"/>
        <v>#N/A</v>
      </c>
      <c r="F38" s="21">
        <f ca="1" t="shared" si="18"/>
        <v>1276</v>
      </c>
      <c r="G38" s="21">
        <f ca="1" t="shared" si="18"/>
        <v>1134</v>
      </c>
      <c r="H38" s="21" t="e">
        <f ca="1" t="shared" si="18"/>
        <v>#N/A</v>
      </c>
      <c r="I38" s="21" t="e">
        <f ca="1" t="shared" si="18"/>
        <v>#N/A</v>
      </c>
      <c r="J38" s="21">
        <f ca="1" t="shared" si="18"/>
        <v>1274</v>
      </c>
      <c r="K38" s="21">
        <f ca="1" t="shared" si="18"/>
        <v>1091</v>
      </c>
      <c r="L38" s="21" t="e">
        <f ca="1" t="shared" si="18"/>
        <v>#N/A</v>
      </c>
      <c r="M38" s="21" t="e">
        <f ca="1" t="shared" si="18"/>
        <v>#N/A</v>
      </c>
      <c r="N38" s="21" t="e">
        <f ca="1" t="shared" si="18"/>
        <v>#N/A</v>
      </c>
      <c r="O38" s="21">
        <f ca="1" t="shared" si="18"/>
        <v>1230</v>
      </c>
      <c r="P38" s="21" t="e">
        <f ca="1" t="shared" si="18"/>
        <v>#N/A</v>
      </c>
      <c r="Q38" s="21">
        <f ca="1" t="shared" si="18"/>
        <v>1108</v>
      </c>
      <c r="R38" s="21">
        <f ca="1" t="shared" si="18"/>
        <v>1258</v>
      </c>
      <c r="S38" s="21">
        <f ca="1" t="shared" si="18"/>
        <v>1227</v>
      </c>
      <c r="T38" s="21">
        <f ca="1" t="shared" si="18"/>
        <v>1250</v>
      </c>
      <c r="U38" s="21" t="e">
        <f ca="1" t="shared" si="18"/>
        <v>#N/A</v>
      </c>
      <c r="V38" s="21">
        <f ca="1" t="shared" si="18"/>
        <v>1172</v>
      </c>
      <c r="W38" s="21">
        <f ca="1" t="shared" si="18"/>
        <v>1268</v>
      </c>
      <c r="X38" s="21" t="e">
        <f ca="1" t="shared" si="18"/>
        <v>#N/A</v>
      </c>
      <c r="Y38" s="21" t="e">
        <f ca="1" t="shared" si="18"/>
        <v>#N/A</v>
      </c>
      <c r="Z38" s="21">
        <f ca="1" t="shared" si="18"/>
        <v>1333</v>
      </c>
      <c r="AA38" s="21" t="e">
        <f ca="1" t="shared" si="18"/>
        <v>#N/A</v>
      </c>
      <c r="AB38" s="21">
        <f ca="1" t="shared" si="18"/>
        <v>1329</v>
      </c>
      <c r="AC38" s="21">
        <f ca="1" t="shared" si="18"/>
        <v>1092</v>
      </c>
      <c r="AD38" s="21">
        <f ca="1" t="shared" si="18"/>
        <v>1136</v>
      </c>
      <c r="AE38" s="21">
        <f ca="1" t="shared" si="18"/>
        <v>1128</v>
      </c>
      <c r="AF38" s="21" t="e">
        <f ca="1" t="shared" si="18"/>
        <v>#N/A</v>
      </c>
    </row>
    <row r="39" spans="1:32">
      <c r="A39" s="18" t="s">
        <v>31</v>
      </c>
      <c r="B39" s="21">
        <f ca="1" t="shared" ref="B39:G39" si="19">IF(B36&lt;D34,B36,IF(B36&lt;B37,B36,NA()))</f>
        <v>1047</v>
      </c>
      <c r="C39" s="21">
        <f ca="1" t="shared" si="19"/>
        <v>1078</v>
      </c>
      <c r="D39" s="21">
        <f ca="1">IF(D36&lt;J34,D36,IF(D36&lt;D37,D36,NA()))</f>
        <v>1081</v>
      </c>
      <c r="E39" s="21">
        <f ca="1" t="shared" si="19"/>
        <v>937</v>
      </c>
      <c r="F39" s="21">
        <f ca="1" t="shared" si="19"/>
        <v>1276</v>
      </c>
      <c r="G39" s="21">
        <f ca="1" t="shared" si="19"/>
        <v>1134</v>
      </c>
      <c r="H39" s="21" t="e">
        <f ca="1">IF(H36&lt;#REF!,H36,IF(H36&lt;H37,H36,NA()))</f>
        <v>#REF!</v>
      </c>
      <c r="I39" s="21">
        <f ca="1" t="shared" ref="I39:AF39" si="20">IF(I36&lt;K34,I36,IF(I36&lt;I37,I36,NA()))</f>
        <v>1043</v>
      </c>
      <c r="J39" s="21" t="e">
        <f ca="1" t="shared" si="20"/>
        <v>#N/A</v>
      </c>
      <c r="K39" s="21" t="e">
        <f ca="1" t="shared" si="20"/>
        <v>#N/A</v>
      </c>
      <c r="L39" s="21">
        <f ca="1" t="shared" si="20"/>
        <v>875</v>
      </c>
      <c r="M39" s="21">
        <f ca="1" t="shared" si="20"/>
        <v>862</v>
      </c>
      <c r="N39" s="21">
        <f ca="1" t="shared" si="20"/>
        <v>941</v>
      </c>
      <c r="O39" s="21" t="e">
        <f ca="1" t="shared" si="20"/>
        <v>#N/A</v>
      </c>
      <c r="P39" s="21">
        <f ca="1" t="shared" si="20"/>
        <v>892</v>
      </c>
      <c r="Q39" s="21" t="e">
        <f ca="1" t="shared" si="20"/>
        <v>#N/A</v>
      </c>
      <c r="R39" s="21" t="e">
        <f ca="1" t="shared" si="20"/>
        <v>#N/A</v>
      </c>
      <c r="S39" s="21" t="e">
        <f ca="1" t="shared" si="20"/>
        <v>#N/A</v>
      </c>
      <c r="T39" s="21" t="e">
        <f ca="1" t="shared" si="20"/>
        <v>#N/A</v>
      </c>
      <c r="U39" s="21">
        <f ca="1" t="shared" si="20"/>
        <v>844</v>
      </c>
      <c r="V39" s="21" t="e">
        <f ca="1" t="shared" si="20"/>
        <v>#N/A</v>
      </c>
      <c r="W39" s="21" t="e">
        <f ca="1" t="shared" si="20"/>
        <v>#N/A</v>
      </c>
      <c r="X39" s="21">
        <f ca="1" t="shared" si="20"/>
        <v>980</v>
      </c>
      <c r="Y39" s="21">
        <f ca="1" t="shared" si="20"/>
        <v>933</v>
      </c>
      <c r="Z39" s="21" t="e">
        <f ca="1" t="shared" si="20"/>
        <v>#N/A</v>
      </c>
      <c r="AA39" s="21">
        <f ca="1" t="shared" si="20"/>
        <v>971</v>
      </c>
      <c r="AB39" s="21" t="e">
        <f ca="1" t="shared" si="20"/>
        <v>#N/A</v>
      </c>
      <c r="AC39" s="21" t="e">
        <f ca="1" t="shared" si="20"/>
        <v>#N/A</v>
      </c>
      <c r="AD39" s="21" t="e">
        <f ca="1" t="shared" si="20"/>
        <v>#N/A</v>
      </c>
      <c r="AE39" s="21" t="e">
        <f ca="1" t="shared" si="20"/>
        <v>#N/A</v>
      </c>
      <c r="AF39" s="21">
        <f ca="1" t="shared" si="20"/>
        <v>954</v>
      </c>
    </row>
    <row r="41" spans="1:8">
      <c r="A41" s="18"/>
      <c r="B41" s="18" t="s">
        <v>32</v>
      </c>
      <c r="C41" s="18" t="e">
        <f t="shared" ref="C41:G41" si="21">NA()</f>
        <v>#N/A</v>
      </c>
      <c r="D41" s="18" t="s">
        <v>33</v>
      </c>
      <c r="E41" s="18" t="e">
        <f t="shared" si="21"/>
        <v>#N/A</v>
      </c>
      <c r="F41" s="18" t="s">
        <v>34</v>
      </c>
      <c r="G41" s="18" t="e">
        <f t="shared" si="21"/>
        <v>#N/A</v>
      </c>
      <c r="H41" s="18" t="s">
        <v>35</v>
      </c>
    </row>
    <row r="42" spans="1:32">
      <c r="A42" s="18" t="s">
        <v>36</v>
      </c>
      <c r="B42" s="26">
        <f ca="1">SUM(LARGE(B36:AF36,{1,2,3,4,5}))/J34*100%</f>
        <v>0.191653603856733</v>
      </c>
      <c r="C42" s="27" t="e">
        <f t="shared" ref="C42:G42" si="22">NA()</f>
        <v>#N/A</v>
      </c>
      <c r="D42" s="27">
        <f ca="1">SUM(LARGE(B36:AF36,{1,2,3,4,5,6,7,8,9,10}))/J34*100%</f>
        <v>0.37316258022537</v>
      </c>
      <c r="E42" s="27" t="e">
        <f t="shared" si="22"/>
        <v>#N/A</v>
      </c>
      <c r="F42" s="27">
        <f ca="1">SUM(SMALL(B36:AF36,1),SMALL(B36:AF36,2),SMALL(B36:AF36,3),SMALL(B36:AF36,4),SMALL(B36:AF36,5),SMALL(B36:AF36,6),SMALL(B36:AF36,7),SMALL(B36:AF36,8),SMALL(B36:AF36,9),SMALL(B36:AF36,10))/J34*100%</f>
        <v>0.271775457691284</v>
      </c>
      <c r="G42" s="27" t="e">
        <f t="shared" si="22"/>
        <v>#N/A</v>
      </c>
      <c r="H42" s="27">
        <f ca="1">SUM(SMALL(B36:AF36,1),SMALL(B36:AF36,2),SMALL(B36:AF36,3),SMALL(B36:AF36,4),SMALL(B36:AF36,5))/J34*100%</f>
        <v>0.130312620153205</v>
      </c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</row>
    <row r="43" spans="2:32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</row>
    <row r="44" spans="2:26">
      <c r="B44" s="29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5"/>
      <c r="S44" s="36"/>
      <c r="T44" s="37"/>
      <c r="U44" s="37"/>
      <c r="V44" s="37"/>
      <c r="W44" s="37"/>
      <c r="X44" s="37"/>
      <c r="Y44" s="37"/>
      <c r="Z44" s="43"/>
    </row>
    <row r="45" spans="2:26">
      <c r="B45" s="31"/>
      <c r="R45" s="38"/>
      <c r="S45" s="39"/>
      <c r="T45" s="40"/>
      <c r="U45" s="40"/>
      <c r="V45" s="40"/>
      <c r="W45" s="40"/>
      <c r="X45" s="40"/>
      <c r="Y45" s="40"/>
      <c r="Z45" s="44"/>
    </row>
    <row r="46" spans="2:26">
      <c r="B46" s="31"/>
      <c r="R46" s="38"/>
      <c r="S46" s="39"/>
      <c r="T46" s="40"/>
      <c r="U46" s="40"/>
      <c r="V46" s="40"/>
      <c r="W46" s="40"/>
      <c r="X46" s="40"/>
      <c r="Y46" s="40"/>
      <c r="Z46" s="44"/>
    </row>
    <row r="47" spans="2:26">
      <c r="B47" s="31"/>
      <c r="R47" s="38"/>
      <c r="S47" s="39"/>
      <c r="T47" s="40"/>
      <c r="U47" s="40"/>
      <c r="V47" s="40"/>
      <c r="W47" s="40"/>
      <c r="X47" s="40"/>
      <c r="Y47" s="40"/>
      <c r="Z47" s="44"/>
    </row>
    <row r="48" spans="2:26">
      <c r="B48" s="31"/>
      <c r="R48" s="38"/>
      <c r="S48" s="39"/>
      <c r="T48" s="40"/>
      <c r="U48" s="40"/>
      <c r="V48" s="40"/>
      <c r="W48" s="40"/>
      <c r="X48" s="40"/>
      <c r="Y48" s="40"/>
      <c r="Z48" s="44"/>
    </row>
    <row r="49" spans="2:26">
      <c r="B49" s="31"/>
      <c r="R49" s="38"/>
      <c r="S49" s="39"/>
      <c r="T49" s="40"/>
      <c r="U49" s="40"/>
      <c r="V49" s="40"/>
      <c r="W49" s="40"/>
      <c r="X49" s="40"/>
      <c r="Y49" s="40"/>
      <c r="Z49" s="44"/>
    </row>
    <row r="50" spans="2:26">
      <c r="B50" s="31"/>
      <c r="R50" s="38"/>
      <c r="S50" s="39"/>
      <c r="T50" s="40"/>
      <c r="U50" s="40"/>
      <c r="V50" s="40"/>
      <c r="W50" s="40"/>
      <c r="X50" s="40"/>
      <c r="Y50" s="40"/>
      <c r="Z50" s="44"/>
    </row>
    <row r="51" spans="2:26">
      <c r="B51" s="31"/>
      <c r="R51" s="38"/>
      <c r="S51" s="39"/>
      <c r="T51" s="40"/>
      <c r="U51" s="40"/>
      <c r="V51" s="40"/>
      <c r="W51" s="40"/>
      <c r="X51" s="40"/>
      <c r="Y51" s="40"/>
      <c r="Z51" s="44"/>
    </row>
    <row r="52" spans="2:26">
      <c r="B52" s="31"/>
      <c r="R52" s="38"/>
      <c r="S52" s="39"/>
      <c r="T52" s="40"/>
      <c r="U52" s="40"/>
      <c r="V52" s="40"/>
      <c r="W52" s="40"/>
      <c r="X52" s="40"/>
      <c r="Y52" s="40"/>
      <c r="Z52" s="44"/>
    </row>
    <row r="53" spans="2:26">
      <c r="B53" s="31"/>
      <c r="R53" s="38"/>
      <c r="S53" s="39"/>
      <c r="T53" s="40"/>
      <c r="U53" s="40"/>
      <c r="V53" s="40"/>
      <c r="W53" s="40"/>
      <c r="X53" s="40"/>
      <c r="Y53" s="40"/>
      <c r="Z53" s="44"/>
    </row>
    <row r="54" spans="2:26">
      <c r="B54" s="31"/>
      <c r="R54" s="38"/>
      <c r="S54" s="39"/>
      <c r="T54" s="40"/>
      <c r="U54" s="40"/>
      <c r="V54" s="40"/>
      <c r="W54" s="40"/>
      <c r="X54" s="40"/>
      <c r="Y54" s="40"/>
      <c r="Z54" s="44"/>
    </row>
    <row r="55" spans="2:26">
      <c r="B55" s="31"/>
      <c r="R55" s="38"/>
      <c r="S55" s="39"/>
      <c r="T55" s="40"/>
      <c r="U55" s="40"/>
      <c r="V55" s="40"/>
      <c r="W55" s="40"/>
      <c r="X55" s="40"/>
      <c r="Y55" s="40"/>
      <c r="Z55" s="44"/>
    </row>
    <row r="56" spans="2:26">
      <c r="B56" s="31"/>
      <c r="R56" s="38"/>
      <c r="S56" s="39"/>
      <c r="T56" s="40"/>
      <c r="U56" s="40"/>
      <c r="V56" s="40"/>
      <c r="W56" s="40"/>
      <c r="X56" s="40"/>
      <c r="Y56" s="40"/>
      <c r="Z56" s="44"/>
    </row>
    <row r="57" spans="2:26">
      <c r="B57" s="31"/>
      <c r="R57" s="38"/>
      <c r="S57" s="39"/>
      <c r="T57" s="40"/>
      <c r="U57" s="40"/>
      <c r="V57" s="40"/>
      <c r="W57" s="40"/>
      <c r="X57" s="40"/>
      <c r="Y57" s="40"/>
      <c r="Z57" s="44"/>
    </row>
    <row r="58" spans="2:26">
      <c r="B58" s="31"/>
      <c r="R58" s="38"/>
      <c r="S58" s="41"/>
      <c r="T58" s="42"/>
      <c r="U58" s="42"/>
      <c r="V58" s="42"/>
      <c r="W58" s="42"/>
      <c r="X58" s="42"/>
      <c r="Y58" s="42"/>
      <c r="Z58" s="45"/>
    </row>
    <row r="59" spans="2:26">
      <c r="B59" s="31"/>
      <c r="R59" s="38"/>
      <c r="S59" s="29"/>
      <c r="T59" s="30"/>
      <c r="U59" s="30"/>
      <c r="V59" s="30"/>
      <c r="W59" s="30"/>
      <c r="X59" s="30"/>
      <c r="Y59" s="30"/>
      <c r="Z59" s="35"/>
    </row>
    <row r="60" spans="2:26">
      <c r="B60" s="31"/>
      <c r="R60" s="38"/>
      <c r="S60" s="31"/>
      <c r="Z60" s="38"/>
    </row>
    <row r="61" spans="2:26">
      <c r="B61" s="31"/>
      <c r="R61" s="38"/>
      <c r="S61" s="31"/>
      <c r="Z61" s="38"/>
    </row>
    <row r="62" spans="2:26">
      <c r="B62" s="31"/>
      <c r="R62" s="38"/>
      <c r="S62" s="31"/>
      <c r="Z62" s="38"/>
    </row>
    <row r="63" spans="2:26">
      <c r="B63" s="31"/>
      <c r="R63" s="38"/>
      <c r="S63" s="31"/>
      <c r="Z63" s="38"/>
    </row>
    <row r="64" spans="2:26">
      <c r="B64" s="31"/>
      <c r="R64" s="38"/>
      <c r="S64" s="31"/>
      <c r="Z64" s="38"/>
    </row>
    <row r="65" spans="2:26">
      <c r="B65" s="31"/>
      <c r="R65" s="38"/>
      <c r="S65" s="31"/>
      <c r="Z65" s="38"/>
    </row>
    <row r="66" spans="2:26">
      <c r="B66" s="31"/>
      <c r="R66" s="38"/>
      <c r="S66" s="31"/>
      <c r="Z66" s="38"/>
    </row>
    <row r="67" spans="2:26">
      <c r="B67" s="31"/>
      <c r="R67" s="38"/>
      <c r="S67" s="31"/>
      <c r="Z67" s="38"/>
    </row>
    <row r="68" spans="2:26">
      <c r="B68" s="31"/>
      <c r="R68" s="38"/>
      <c r="S68" s="31"/>
      <c r="Z68" s="38"/>
    </row>
    <row r="69" spans="2:26">
      <c r="B69" s="31"/>
      <c r="R69" s="38"/>
      <c r="S69" s="31"/>
      <c r="Z69" s="38"/>
    </row>
    <row r="70" spans="2:26">
      <c r="B70" s="31"/>
      <c r="R70" s="38"/>
      <c r="S70" s="31"/>
      <c r="Z70" s="38"/>
    </row>
    <row r="71" spans="2:26">
      <c r="B71" s="31"/>
      <c r="R71" s="38"/>
      <c r="S71" s="31"/>
      <c r="Z71" s="38"/>
    </row>
    <row r="72" spans="2:26">
      <c r="B72" s="31"/>
      <c r="R72" s="38"/>
      <c r="S72" s="31"/>
      <c r="Z72" s="38"/>
    </row>
    <row r="73" spans="2:26">
      <c r="B73" s="46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8"/>
      <c r="S73" s="46"/>
      <c r="T73" s="47"/>
      <c r="U73" s="47"/>
      <c r="V73" s="47"/>
      <c r="W73" s="47"/>
      <c r="X73" s="47"/>
      <c r="Y73" s="47"/>
      <c r="Z73" s="48"/>
    </row>
  </sheetData>
  <mergeCells count="4">
    <mergeCell ref="C11:E11"/>
    <mergeCell ref="G11:I11"/>
    <mergeCell ref="D33:E33"/>
    <mergeCell ref="D34:E34"/>
  </mergeCells>
  <conditionalFormatting sqref="B15:AF30">
    <cfRule type="expression" dxfId="2" priority="2">
      <formula>OR(($A15=$C$11),(B$14=$G$11))</formula>
    </cfRule>
    <cfRule type="expression" dxfId="1" priority="1">
      <formula>AND(($A15=$C$11),(B$14=$G$11))</formula>
    </cfRule>
  </conditionalFormatting>
  <dataValidations count="2">
    <dataValidation type="list" allowBlank="1" showInputMessage="1" showErrorMessage="1" sqref="C11:E11 C12:E12">
      <formula1>$A$15:$A$30</formula1>
    </dataValidation>
    <dataValidation type="list" allowBlank="1" showInputMessage="1" showErrorMessage="1" sqref="G11:I11 G12:I12">
      <formula1>$B$14:$AF$14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7169" r:id="rId3" name="ToggleButton1">
          <controlPr defaultSize="0" r:id="rId4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7169" r:id="rId3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J32"/>
  <sheetViews>
    <sheetView workbookViewId="0">
      <selection activeCell="G51" sqref="G51"/>
    </sheetView>
  </sheetViews>
  <sheetFormatPr defaultColWidth="9" defaultRowHeight="13.5"/>
  <sheetData>
    <row r="1" spans="2:3">
      <c r="B1" t="str">
        <f>CHAR(ROW(A1)+64)</f>
        <v>A</v>
      </c>
      <c r="C1" t="str">
        <f t="shared" ref="C1:C26" si="0">CHAR(ROW(B1)+64)</f>
        <v>A</v>
      </c>
    </row>
    <row r="2" spans="2:10">
      <c r="B2" t="str">
        <f t="shared" ref="B2:B52" si="1">CHAR(ROW(A2)+64)</f>
        <v>B</v>
      </c>
      <c r="C2" t="str">
        <f t="shared" si="0"/>
        <v>B</v>
      </c>
      <c r="E2" t="str">
        <f>_xlfn.CONCAT(B2,10)</f>
        <v>B10</v>
      </c>
      <c r="F2" t="str">
        <f>_xlfn.CONCAT("=(",E2,"+A8)","/F8")</f>
        <v>=(B10+A8)/F8</v>
      </c>
      <c r="I2">
        <v>0</v>
      </c>
      <c r="J2">
        <v>0</v>
      </c>
    </row>
    <row r="3" spans="2:10">
      <c r="B3" t="str">
        <f t="shared" si="1"/>
        <v>C</v>
      </c>
      <c r="C3" t="str">
        <f t="shared" si="0"/>
        <v>C</v>
      </c>
      <c r="E3" t="str">
        <f t="shared" ref="E3:E26" si="2">_xlfn.CONCAT(B3,10)</f>
        <v>C10</v>
      </c>
      <c r="F3" t="str">
        <f t="shared" ref="F3:F32" si="3">_xlfn.CONCAT("=(",E3,"+A8)","/F8")</f>
        <v>=(C10+A8)/F8</v>
      </c>
      <c r="I3">
        <v>20</v>
      </c>
      <c r="J3">
        <v>0</v>
      </c>
    </row>
    <row r="4" spans="2:10">
      <c r="B4" t="str">
        <f t="shared" si="1"/>
        <v>D</v>
      </c>
      <c r="C4" t="str">
        <f t="shared" si="0"/>
        <v>D</v>
      </c>
      <c r="E4" t="str">
        <f t="shared" si="2"/>
        <v>D10</v>
      </c>
      <c r="F4" t="str">
        <f t="shared" si="3"/>
        <v>=(D10+A8)/F8</v>
      </c>
      <c r="I4">
        <v>40</v>
      </c>
      <c r="J4">
        <v>0</v>
      </c>
    </row>
    <row r="5" spans="2:10">
      <c r="B5" t="str">
        <f t="shared" si="1"/>
        <v>E</v>
      </c>
      <c r="C5" t="str">
        <f t="shared" si="0"/>
        <v>E</v>
      </c>
      <c r="E5" t="str">
        <f t="shared" si="2"/>
        <v>E10</v>
      </c>
      <c r="F5" t="str">
        <f t="shared" si="3"/>
        <v>=(E10+A8)/F8</v>
      </c>
      <c r="I5">
        <v>60</v>
      </c>
      <c r="J5">
        <v>0</v>
      </c>
    </row>
    <row r="6" spans="2:10">
      <c r="B6" t="str">
        <f t="shared" si="1"/>
        <v>F</v>
      </c>
      <c r="C6" t="str">
        <f t="shared" si="0"/>
        <v>F</v>
      </c>
      <c r="E6" t="str">
        <f t="shared" si="2"/>
        <v>F10</v>
      </c>
      <c r="F6" t="str">
        <f t="shared" si="3"/>
        <v>=(F10+A8)/F8</v>
      </c>
      <c r="I6">
        <v>80</v>
      </c>
      <c r="J6">
        <v>0</v>
      </c>
    </row>
    <row r="7" spans="2:10">
      <c r="B7" t="str">
        <f t="shared" si="1"/>
        <v>G</v>
      </c>
      <c r="C7" t="str">
        <f t="shared" si="0"/>
        <v>G</v>
      </c>
      <c r="E7" t="str">
        <f t="shared" si="2"/>
        <v>G10</v>
      </c>
      <c r="F7" t="str">
        <f t="shared" si="3"/>
        <v>=(G10+A8)/F8</v>
      </c>
      <c r="I7">
        <v>0</v>
      </c>
      <c r="J7">
        <v>0</v>
      </c>
    </row>
    <row r="8" spans="2:10">
      <c r="B8" t="str">
        <f t="shared" si="1"/>
        <v>H</v>
      </c>
      <c r="C8" t="str">
        <f t="shared" si="0"/>
        <v>H</v>
      </c>
      <c r="E8" t="str">
        <f t="shared" si="2"/>
        <v>H10</v>
      </c>
      <c r="F8" t="str">
        <f t="shared" si="3"/>
        <v>=(H10+A8)/F8</v>
      </c>
      <c r="I8">
        <v>20</v>
      </c>
      <c r="J8">
        <v>0</v>
      </c>
    </row>
    <row r="9" spans="2:10">
      <c r="B9" t="str">
        <f t="shared" si="1"/>
        <v>I</v>
      </c>
      <c r="C9" t="str">
        <f t="shared" si="0"/>
        <v>I</v>
      </c>
      <c r="E9" t="str">
        <f t="shared" si="2"/>
        <v>I10</v>
      </c>
      <c r="F9" t="str">
        <f t="shared" si="3"/>
        <v>=(I10+A8)/F8</v>
      </c>
      <c r="I9">
        <v>40</v>
      </c>
      <c r="J9">
        <v>0</v>
      </c>
    </row>
    <row r="10" spans="2:10">
      <c r="B10" t="str">
        <f t="shared" si="1"/>
        <v>J</v>
      </c>
      <c r="C10" t="str">
        <f t="shared" si="0"/>
        <v>J</v>
      </c>
      <c r="E10" t="str">
        <f t="shared" si="2"/>
        <v>J10</v>
      </c>
      <c r="F10" t="str">
        <f t="shared" si="3"/>
        <v>=(J10+A8)/F8</v>
      </c>
      <c r="I10">
        <v>60</v>
      </c>
      <c r="J10">
        <v>0</v>
      </c>
    </row>
    <row r="11" spans="2:10">
      <c r="B11" t="str">
        <f t="shared" si="1"/>
        <v>K</v>
      </c>
      <c r="C11" t="str">
        <f t="shared" si="0"/>
        <v>K</v>
      </c>
      <c r="E11" t="str">
        <f t="shared" si="2"/>
        <v>K10</v>
      </c>
      <c r="F11" t="str">
        <f t="shared" si="3"/>
        <v>=(K10+A8)/F8</v>
      </c>
      <c r="I11">
        <v>80</v>
      </c>
      <c r="J11">
        <v>0</v>
      </c>
    </row>
    <row r="12" spans="2:10">
      <c r="B12" t="str">
        <f t="shared" si="1"/>
        <v>L</v>
      </c>
      <c r="C12" t="str">
        <f t="shared" si="0"/>
        <v>L</v>
      </c>
      <c r="E12" t="str">
        <f t="shared" si="2"/>
        <v>L10</v>
      </c>
      <c r="F12" t="str">
        <f t="shared" si="3"/>
        <v>=(L10+A8)/F8</v>
      </c>
      <c r="I12">
        <v>0</v>
      </c>
      <c r="J12">
        <v>0</v>
      </c>
    </row>
    <row r="13" spans="2:10">
      <c r="B13" t="str">
        <f t="shared" si="1"/>
        <v>M</v>
      </c>
      <c r="C13" t="str">
        <f t="shared" si="0"/>
        <v>M</v>
      </c>
      <c r="E13" t="str">
        <f t="shared" si="2"/>
        <v>M10</v>
      </c>
      <c r="F13" t="str">
        <f t="shared" si="3"/>
        <v>=(M10+A8)/F8</v>
      </c>
      <c r="I13">
        <v>20</v>
      </c>
      <c r="J13">
        <v>0</v>
      </c>
    </row>
    <row r="14" spans="2:10">
      <c r="B14" t="str">
        <f t="shared" si="1"/>
        <v>N</v>
      </c>
      <c r="C14" t="str">
        <f t="shared" si="0"/>
        <v>N</v>
      </c>
      <c r="E14" t="str">
        <f t="shared" si="2"/>
        <v>N10</v>
      </c>
      <c r="F14" t="str">
        <f t="shared" si="3"/>
        <v>=(N10+A8)/F8</v>
      </c>
      <c r="I14">
        <v>40</v>
      </c>
      <c r="J14">
        <v>0</v>
      </c>
    </row>
    <row r="15" spans="2:10">
      <c r="B15" t="str">
        <f t="shared" si="1"/>
        <v>O</v>
      </c>
      <c r="C15" t="str">
        <f t="shared" si="0"/>
        <v>O</v>
      </c>
      <c r="E15" t="str">
        <f t="shared" si="2"/>
        <v>O10</v>
      </c>
      <c r="F15" t="str">
        <f t="shared" si="3"/>
        <v>=(O10+A8)/F8</v>
      </c>
      <c r="I15">
        <v>60</v>
      </c>
      <c r="J15">
        <v>0</v>
      </c>
    </row>
    <row r="16" spans="2:10">
      <c r="B16" t="str">
        <f t="shared" si="1"/>
        <v>P</v>
      </c>
      <c r="C16" t="str">
        <f t="shared" si="0"/>
        <v>P</v>
      </c>
      <c r="E16" t="str">
        <f t="shared" si="2"/>
        <v>P10</v>
      </c>
      <c r="F16" t="str">
        <f t="shared" si="3"/>
        <v>=(P10+A8)/F8</v>
      </c>
      <c r="I16">
        <v>80</v>
      </c>
      <c r="J16">
        <v>0</v>
      </c>
    </row>
    <row r="17" spans="2:10">
      <c r="B17" t="str">
        <f t="shared" si="1"/>
        <v>Q</v>
      </c>
      <c r="C17" t="str">
        <f t="shared" si="0"/>
        <v>Q</v>
      </c>
      <c r="E17" t="str">
        <f t="shared" si="2"/>
        <v>Q10</v>
      </c>
      <c r="F17" t="str">
        <f t="shared" si="3"/>
        <v>=(Q10+A8)/F8</v>
      </c>
      <c r="I17">
        <v>0</v>
      </c>
      <c r="J17">
        <v>0</v>
      </c>
    </row>
    <row r="18" spans="2:10">
      <c r="B18" t="str">
        <f t="shared" si="1"/>
        <v>R</v>
      </c>
      <c r="C18" t="str">
        <f t="shared" si="0"/>
        <v>R</v>
      </c>
      <c r="E18" t="str">
        <f t="shared" si="2"/>
        <v>R10</v>
      </c>
      <c r="F18" t="str">
        <f t="shared" si="3"/>
        <v>=(R10+A8)/F8</v>
      </c>
      <c r="I18">
        <v>20</v>
      </c>
      <c r="J18">
        <v>0</v>
      </c>
    </row>
    <row r="19" spans="2:10">
      <c r="B19" t="str">
        <f t="shared" si="1"/>
        <v>S</v>
      </c>
      <c r="C19" t="str">
        <f t="shared" si="0"/>
        <v>S</v>
      </c>
      <c r="E19" t="str">
        <f t="shared" si="2"/>
        <v>S10</v>
      </c>
      <c r="F19" t="str">
        <f t="shared" si="3"/>
        <v>=(S10+A8)/F8</v>
      </c>
      <c r="I19">
        <v>40</v>
      </c>
      <c r="J19">
        <v>0</v>
      </c>
    </row>
    <row r="20" spans="2:10">
      <c r="B20" t="str">
        <f t="shared" si="1"/>
        <v>T</v>
      </c>
      <c r="C20" t="str">
        <f t="shared" si="0"/>
        <v>T</v>
      </c>
      <c r="E20" t="str">
        <f t="shared" si="2"/>
        <v>T10</v>
      </c>
      <c r="F20" t="str">
        <f t="shared" si="3"/>
        <v>=(T10+A8)/F8</v>
      </c>
      <c r="I20">
        <v>60</v>
      </c>
      <c r="J20">
        <v>0</v>
      </c>
    </row>
    <row r="21" spans="2:10">
      <c r="B21" t="str">
        <f t="shared" si="1"/>
        <v>U</v>
      </c>
      <c r="C21" t="str">
        <f t="shared" si="0"/>
        <v>U</v>
      </c>
      <c r="E21" t="str">
        <f t="shared" si="2"/>
        <v>U10</v>
      </c>
      <c r="F21" t="str">
        <f t="shared" si="3"/>
        <v>=(U10+A8)/F8</v>
      </c>
      <c r="I21">
        <v>80</v>
      </c>
      <c r="J21">
        <v>0</v>
      </c>
    </row>
    <row r="22" spans="2:6">
      <c r="B22" t="str">
        <f t="shared" si="1"/>
        <v>V</v>
      </c>
      <c r="C22" t="str">
        <f t="shared" si="0"/>
        <v>V</v>
      </c>
      <c r="E22" t="str">
        <f t="shared" si="2"/>
        <v>V10</v>
      </c>
      <c r="F22" t="str">
        <f t="shared" si="3"/>
        <v>=(V10+A8)/F8</v>
      </c>
    </row>
    <row r="23" spans="2:6">
      <c r="B23" t="str">
        <f t="shared" si="1"/>
        <v>W</v>
      </c>
      <c r="C23" t="str">
        <f t="shared" si="0"/>
        <v>W</v>
      </c>
      <c r="E23" t="str">
        <f t="shared" si="2"/>
        <v>W10</v>
      </c>
      <c r="F23" t="str">
        <f t="shared" si="3"/>
        <v>=(W10+A8)/F8</v>
      </c>
    </row>
    <row r="24" spans="2:6">
      <c r="B24" t="str">
        <f t="shared" si="1"/>
        <v>X</v>
      </c>
      <c r="C24" t="str">
        <f t="shared" si="0"/>
        <v>X</v>
      </c>
      <c r="E24" t="str">
        <f t="shared" si="2"/>
        <v>X10</v>
      </c>
      <c r="F24" t="str">
        <f t="shared" si="3"/>
        <v>=(X10+A8)/F8</v>
      </c>
    </row>
    <row r="25" spans="2:6">
      <c r="B25" t="str">
        <f t="shared" si="1"/>
        <v>Y</v>
      </c>
      <c r="C25" t="str">
        <f t="shared" si="0"/>
        <v>Y</v>
      </c>
      <c r="E25" t="str">
        <f t="shared" si="2"/>
        <v>Y10</v>
      </c>
      <c r="F25" t="str">
        <f t="shared" si="3"/>
        <v>=(Y10+A8)/F8</v>
      </c>
    </row>
    <row r="26" spans="2:6">
      <c r="B26" t="str">
        <f t="shared" si="1"/>
        <v>Z</v>
      </c>
      <c r="C26" t="str">
        <f t="shared" si="0"/>
        <v>Z</v>
      </c>
      <c r="E26" t="str">
        <f t="shared" si="2"/>
        <v>Z10</v>
      </c>
      <c r="F26" t="str">
        <f t="shared" si="3"/>
        <v>=(Z10+A8)/F8</v>
      </c>
    </row>
    <row r="27" spans="5:6">
      <c r="E27" t="str">
        <f>_xlfn.CONCAT(B1,C1,10)</f>
        <v>AA10</v>
      </c>
      <c r="F27" t="str">
        <f t="shared" si="3"/>
        <v>=(AA10+A8)/F8</v>
      </c>
    </row>
    <row r="28" spans="5:6">
      <c r="E28" t="str">
        <f>_xlfn.CONCAT(B1,C2,10)</f>
        <v>AB10</v>
      </c>
      <c r="F28" t="str">
        <f t="shared" si="3"/>
        <v>=(AB10+A8)/F8</v>
      </c>
    </row>
    <row r="29" spans="5:6">
      <c r="E29" t="str">
        <f>_xlfn.CONCAT(B1,C3,10)</f>
        <v>AC10</v>
      </c>
      <c r="F29" t="str">
        <f t="shared" si="3"/>
        <v>=(AC10+A8)/F8</v>
      </c>
    </row>
    <row r="30" spans="5:6">
      <c r="E30" t="str">
        <f>_xlfn.CONCAT(B1,C4,10)</f>
        <v>AD10</v>
      </c>
      <c r="F30" t="str">
        <f t="shared" si="3"/>
        <v>=(AD10+A8)/F8</v>
      </c>
    </row>
    <row r="31" spans="5:6">
      <c r="E31" t="str">
        <f>_xlfn.CONCAT(B1,C5,10)</f>
        <v>AE10</v>
      </c>
      <c r="F31" t="str">
        <f t="shared" si="3"/>
        <v>=(AE10+A8)/F8</v>
      </c>
    </row>
    <row r="32" spans="5:6">
      <c r="E32" t="str">
        <f>_xlfn.CONCAT(B1,C6,10)</f>
        <v>AF10</v>
      </c>
      <c r="F32" t="str">
        <f t="shared" si="3"/>
        <v>=(AF10+A8)/F8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E575"/>
  <sheetViews>
    <sheetView topLeftCell="A13" workbookViewId="0">
      <selection activeCell="AE52" sqref="AE52"/>
    </sheetView>
  </sheetViews>
  <sheetFormatPr defaultColWidth="9" defaultRowHeight="13.5"/>
  <cols>
    <col min="1" max="1" width="4.375" customWidth="1"/>
    <col min="2" max="4" width="3.25" customWidth="1"/>
    <col min="5" max="5" width="4.375" customWidth="1"/>
    <col min="6" max="7" width="3.25" customWidth="1"/>
    <col min="8" max="8" width="4.375" customWidth="1"/>
    <col min="9" max="10" width="3.25" customWidth="1"/>
    <col min="11" max="11" width="2.375" customWidth="1"/>
    <col min="12" max="12" width="3.25" customWidth="1"/>
    <col min="13" max="13" width="5.125" customWidth="1"/>
    <col min="14" max="564" width="3.25" customWidth="1"/>
  </cols>
  <sheetData>
    <row r="1" s="1" customFormat="1" spans="1:2">
      <c r="A1" s="4"/>
      <c r="B1" s="4"/>
    </row>
    <row r="2" s="2" customFormat="1" spans="1:2">
      <c r="A2" s="5"/>
      <c r="B2" s="5"/>
    </row>
    <row r="3" s="2" customFormat="1" spans="1:2">
      <c r="A3" s="5"/>
      <c r="B3" s="5"/>
    </row>
    <row r="4" s="2" customFormat="1" spans="1:2">
      <c r="A4" s="5"/>
      <c r="B4" s="5"/>
    </row>
    <row r="5" s="2" customFormat="1" spans="1:2">
      <c r="A5" s="5"/>
      <c r="B5" s="5"/>
    </row>
    <row r="6" s="2" customFormat="1" spans="1:2">
      <c r="A6" s="5"/>
      <c r="B6" s="5"/>
    </row>
    <row r="7" s="3" customFormat="1" ht="14.25"/>
    <row r="8" s="1" customFormat="1" ht="14.25"/>
    <row r="9" s="3" customFormat="1" ht="14.25"/>
    <row r="10" ht="14.25"/>
    <row r="11" spans="2:2">
      <c r="B11" t="s">
        <v>43</v>
      </c>
    </row>
    <row r="12" spans="1:13">
      <c r="A12">
        <f t="shared" ref="A12:A75" si="0">ROW()-11</f>
        <v>1</v>
      </c>
      <c r="B12" t="s">
        <v>44</v>
      </c>
      <c r="C12">
        <f t="shared" ref="C12:C66" si="1">ROW()-1</f>
        <v>11</v>
      </c>
      <c r="D12" t="s">
        <v>45</v>
      </c>
      <c r="H12">
        <f ca="1" t="shared" ref="H12:H44" si="2">RANDBETWEEN(1,564)</f>
        <v>321</v>
      </c>
      <c r="I12">
        <f ca="1" t="shared" ref="I12:I18" si="3">RANDBETWEEN(1,56)</f>
        <v>45</v>
      </c>
      <c r="K12" t="s">
        <v>46</v>
      </c>
      <c r="L12" t="str">
        <f ca="1">VLOOKUP(H12,A:B,2,FALSE)</f>
        <v>温</v>
      </c>
      <c r="M12" s="6" t="str">
        <f ca="1">VLOOKUP(I12,C:D,2,FALSE)</f>
        <v>睿洋</v>
      </c>
    </row>
    <row r="13" spans="1:13">
      <c r="A13">
        <f t="shared" si="0"/>
        <v>2</v>
      </c>
      <c r="B13" t="s">
        <v>47</v>
      </c>
      <c r="C13">
        <f t="shared" si="1"/>
        <v>12</v>
      </c>
      <c r="D13" t="s">
        <v>48</v>
      </c>
      <c r="H13">
        <f ca="1" t="shared" si="2"/>
        <v>177</v>
      </c>
      <c r="I13">
        <f ca="1" t="shared" si="3"/>
        <v>34</v>
      </c>
      <c r="K13" t="s">
        <v>46</v>
      </c>
      <c r="L13" t="str">
        <f ca="1">VLOOKUP(H13,A:B,2,FALSE)</f>
        <v>丁</v>
      </c>
      <c r="M13" s="6" t="str">
        <f ca="1">VLOOKUP(I13,C:D,2,FALSE)</f>
        <v>锶源</v>
      </c>
    </row>
    <row r="14" spans="1:13">
      <c r="A14">
        <f t="shared" si="0"/>
        <v>3</v>
      </c>
      <c r="B14" t="s">
        <v>49</v>
      </c>
      <c r="C14">
        <f t="shared" si="1"/>
        <v>13</v>
      </c>
      <c r="D14" t="s">
        <v>50</v>
      </c>
      <c r="H14">
        <f ca="1" t="shared" si="2"/>
        <v>345</v>
      </c>
      <c r="I14">
        <f ca="1" t="shared" si="3"/>
        <v>5</v>
      </c>
      <c r="K14" t="s">
        <v>46</v>
      </c>
      <c r="L14" t="str">
        <f ca="1">VLOOKUP(H14,A:B,2,FALSE)</f>
        <v>暨</v>
      </c>
      <c r="M14" s="6" t="e">
        <f ca="1">VLOOKUP(I14,C:D,2,FALSE)</f>
        <v>#N/A</v>
      </c>
    </row>
    <row r="15" spans="1:13">
      <c r="A15">
        <f t="shared" si="0"/>
        <v>4</v>
      </c>
      <c r="B15" t="s">
        <v>51</v>
      </c>
      <c r="C15">
        <f t="shared" si="1"/>
        <v>14</v>
      </c>
      <c r="D15" t="s">
        <v>52</v>
      </c>
      <c r="H15">
        <f ca="1" t="shared" si="2"/>
        <v>541</v>
      </c>
      <c r="I15">
        <f ca="1" t="shared" si="3"/>
        <v>45</v>
      </c>
      <c r="K15" t="s">
        <v>46</v>
      </c>
      <c r="L15" t="str">
        <f ca="1">VLOOKUP(H15,A:B,2,FALSE)</f>
        <v>东</v>
      </c>
      <c r="M15" s="6" t="str">
        <f ca="1">VLOOKUP(I15,C:D,2,FALSE)</f>
        <v>睿洋</v>
      </c>
    </row>
    <row r="16" spans="1:31">
      <c r="A16">
        <f t="shared" si="0"/>
        <v>5</v>
      </c>
      <c r="B16" t="s">
        <v>53</v>
      </c>
      <c r="C16">
        <f t="shared" si="1"/>
        <v>15</v>
      </c>
      <c r="D16" t="s">
        <v>54</v>
      </c>
      <c r="H16">
        <f ca="1" t="shared" si="2"/>
        <v>448</v>
      </c>
      <c r="I16">
        <f ca="1" t="shared" si="3"/>
        <v>22</v>
      </c>
      <c r="K16" t="s">
        <v>46</v>
      </c>
      <c r="L16" t="str">
        <f ca="1">VLOOKUP(H16,A:B,2,FALSE)</f>
        <v>屠</v>
      </c>
      <c r="M16" s="6" t="str">
        <f ca="1">VLOOKUP(I16,C:D,2,FALSE)</f>
        <v>宗好</v>
      </c>
      <c r="AE16" t="s">
        <v>4</v>
      </c>
    </row>
    <row r="17" spans="1:31">
      <c r="A17">
        <f t="shared" si="0"/>
        <v>6</v>
      </c>
      <c r="B17" t="s">
        <v>55</v>
      </c>
      <c r="C17">
        <f t="shared" si="1"/>
        <v>16</v>
      </c>
      <c r="D17" t="s">
        <v>56</v>
      </c>
      <c r="H17">
        <f ca="1" t="shared" si="2"/>
        <v>420</v>
      </c>
      <c r="I17">
        <f ca="1" t="shared" si="3"/>
        <v>21</v>
      </c>
      <c r="K17" t="s">
        <v>46</v>
      </c>
      <c r="L17" t="str">
        <f ca="1">VLOOKUP(H17,A:B,2,FALSE)</f>
        <v>葛</v>
      </c>
      <c r="M17" s="6" t="str">
        <f ca="1">VLOOKUP(I17,C:D,2,FALSE)</f>
        <v>斯兵</v>
      </c>
      <c r="AE17" t="s">
        <v>5</v>
      </c>
    </row>
    <row r="18" spans="1:31">
      <c r="A18">
        <f t="shared" si="0"/>
        <v>7</v>
      </c>
      <c r="B18" t="s">
        <v>57</v>
      </c>
      <c r="C18">
        <f t="shared" si="1"/>
        <v>17</v>
      </c>
      <c r="D18" t="s">
        <v>58</v>
      </c>
      <c r="H18">
        <f ca="1" t="shared" si="2"/>
        <v>119</v>
      </c>
      <c r="I18">
        <f ca="1" t="shared" si="3"/>
        <v>12</v>
      </c>
      <c r="K18" t="s">
        <v>46</v>
      </c>
      <c r="L18" t="str">
        <f ca="1">VLOOKUP(H18,A:B,2,FALSE)</f>
        <v>茅</v>
      </c>
      <c r="M18" s="6" t="str">
        <f ca="1">VLOOKUP(I18,C:D,2,FALSE)</f>
        <v>钦浩</v>
      </c>
      <c r="AE18" t="s">
        <v>6</v>
      </c>
    </row>
    <row r="19" spans="1:31">
      <c r="A19">
        <f t="shared" si="0"/>
        <v>8</v>
      </c>
      <c r="B19" t="s">
        <v>59</v>
      </c>
      <c r="C19">
        <f t="shared" si="1"/>
        <v>18</v>
      </c>
      <c r="D19" t="s">
        <v>60</v>
      </c>
      <c r="H19">
        <f ca="1" t="shared" si="2"/>
        <v>197</v>
      </c>
      <c r="I19">
        <f ca="1">RANDBETWEEN(1,55)</f>
        <v>36</v>
      </c>
      <c r="K19" t="s">
        <v>46</v>
      </c>
      <c r="L19" t="str">
        <f ca="1">VLOOKUP(H19,A:B,2,FALSE)</f>
        <v>裴</v>
      </c>
      <c r="M19" s="6" t="str">
        <f ca="1">VLOOKUP(I19,C:D,2,FALSE)</f>
        <v>紫雨</v>
      </c>
      <c r="AE19" t="s">
        <v>1</v>
      </c>
    </row>
    <row r="20" spans="1:31">
      <c r="A20">
        <f t="shared" si="0"/>
        <v>9</v>
      </c>
      <c r="B20" t="s">
        <v>61</v>
      </c>
      <c r="C20">
        <f t="shared" si="1"/>
        <v>19</v>
      </c>
      <c r="D20" t="s">
        <v>62</v>
      </c>
      <c r="H20">
        <f ca="1" t="shared" si="2"/>
        <v>484</v>
      </c>
      <c r="I20">
        <f ca="1" t="shared" ref="I20:I44" si="4">RANDBETWEEN(1,56)</f>
        <v>51</v>
      </c>
      <c r="K20" t="s">
        <v>46</v>
      </c>
      <c r="L20" t="str">
        <f ca="1">VLOOKUP(H20,A:B,2,FALSE)</f>
        <v>木</v>
      </c>
      <c r="M20" s="6" t="str">
        <f ca="1">VLOOKUP(I20,C:D,2,FALSE)</f>
        <v>柔汐</v>
      </c>
      <c r="AE20" t="s">
        <v>7</v>
      </c>
    </row>
    <row r="21" spans="1:31">
      <c r="A21">
        <f t="shared" si="0"/>
        <v>10</v>
      </c>
      <c r="B21" t="s">
        <v>63</v>
      </c>
      <c r="C21">
        <f t="shared" si="1"/>
        <v>20</v>
      </c>
      <c r="D21" t="s">
        <v>64</v>
      </c>
      <c r="H21">
        <f ca="1" t="shared" si="2"/>
        <v>544</v>
      </c>
      <c r="I21">
        <f ca="1" t="shared" si="4"/>
        <v>39</v>
      </c>
      <c r="K21" t="s">
        <v>46</v>
      </c>
      <c r="L21" t="str">
        <f ca="1">VLOOKUP(H21,A:B,2,FALSE)</f>
        <v>门</v>
      </c>
      <c r="M21" s="6" t="str">
        <f ca="1">VLOOKUP(I21,C:D,2,FALSE)</f>
        <v>宸清</v>
      </c>
      <c r="AE21" t="s">
        <v>8</v>
      </c>
    </row>
    <row r="22" spans="1:31">
      <c r="A22">
        <f t="shared" si="0"/>
        <v>11</v>
      </c>
      <c r="B22" t="s">
        <v>65</v>
      </c>
      <c r="C22">
        <f t="shared" si="1"/>
        <v>21</v>
      </c>
      <c r="D22" t="s">
        <v>66</v>
      </c>
      <c r="H22">
        <f ca="1" t="shared" si="2"/>
        <v>198</v>
      </c>
      <c r="I22">
        <f ca="1" t="shared" si="4"/>
        <v>8</v>
      </c>
      <c r="K22" t="s">
        <v>46</v>
      </c>
      <c r="L22" t="str">
        <f ca="1">VLOOKUP(H22,A:B,2,FALSE)</f>
        <v>陆</v>
      </c>
      <c r="M22" s="6" t="e">
        <f ca="1">VLOOKUP(I22,C:D,2,FALSE)</f>
        <v>#N/A</v>
      </c>
      <c r="AE22" t="s">
        <v>67</v>
      </c>
    </row>
    <row r="23" spans="1:31">
      <c r="A23">
        <f t="shared" si="0"/>
        <v>12</v>
      </c>
      <c r="B23" t="s">
        <v>68</v>
      </c>
      <c r="C23">
        <f t="shared" si="1"/>
        <v>22</v>
      </c>
      <c r="D23" t="s">
        <v>69</v>
      </c>
      <c r="H23">
        <f ca="1" t="shared" si="2"/>
        <v>157</v>
      </c>
      <c r="I23">
        <f ca="1" t="shared" si="4"/>
        <v>55</v>
      </c>
      <c r="K23" t="s">
        <v>46</v>
      </c>
      <c r="L23" t="str">
        <f ca="1">VLOOKUP(H23,A:B,2,FALSE)</f>
        <v>樊</v>
      </c>
      <c r="M23" s="6" t="str">
        <f ca="1">VLOOKUP(I23,C:D,2,FALSE)</f>
        <v>心伯</v>
      </c>
      <c r="AE23" t="s">
        <v>10</v>
      </c>
    </row>
    <row r="24" spans="1:31">
      <c r="A24">
        <f t="shared" si="0"/>
        <v>13</v>
      </c>
      <c r="B24" t="s">
        <v>70</v>
      </c>
      <c r="C24">
        <f t="shared" si="1"/>
        <v>23</v>
      </c>
      <c r="D24" t="s">
        <v>71</v>
      </c>
      <c r="H24">
        <f ca="1" t="shared" si="2"/>
        <v>3</v>
      </c>
      <c r="I24">
        <f ca="1" t="shared" si="4"/>
        <v>21</v>
      </c>
      <c r="K24" t="s">
        <v>46</v>
      </c>
      <c r="L24" t="str">
        <f ca="1">VLOOKUP(H24,A:B,2,FALSE)</f>
        <v>孙</v>
      </c>
      <c r="M24" s="6" t="str">
        <f ca="1">VLOOKUP(I24,C:D,2,FALSE)</f>
        <v>斯兵</v>
      </c>
      <c r="AE24" t="s">
        <v>11</v>
      </c>
    </row>
    <row r="25" spans="1:31">
      <c r="A25">
        <f t="shared" si="0"/>
        <v>14</v>
      </c>
      <c r="B25" t="s">
        <v>72</v>
      </c>
      <c r="C25">
        <f t="shared" si="1"/>
        <v>24</v>
      </c>
      <c r="D25" t="s">
        <v>73</v>
      </c>
      <c r="H25">
        <f ca="1" t="shared" si="2"/>
        <v>82</v>
      </c>
      <c r="I25">
        <f ca="1" t="shared" si="4"/>
        <v>3</v>
      </c>
      <c r="K25" t="s">
        <v>46</v>
      </c>
      <c r="L25" t="str">
        <f ca="1">VLOOKUP(H25,A:B,2,FALSE)</f>
        <v>于</v>
      </c>
      <c r="M25" s="6" t="e">
        <f ca="1">VLOOKUP(I25,C:D,2,FALSE)</f>
        <v>#N/A</v>
      </c>
      <c r="AE25" t="s">
        <v>74</v>
      </c>
    </row>
    <row r="26" spans="1:31">
      <c r="A26">
        <f t="shared" si="0"/>
        <v>15</v>
      </c>
      <c r="B26" t="s">
        <v>75</v>
      </c>
      <c r="C26">
        <f t="shared" si="1"/>
        <v>25</v>
      </c>
      <c r="D26" t="s">
        <v>76</v>
      </c>
      <c r="H26">
        <f ca="1" t="shared" si="2"/>
        <v>564</v>
      </c>
      <c r="I26">
        <f ca="1" t="shared" si="4"/>
        <v>55</v>
      </c>
      <c r="K26" t="s">
        <v>46</v>
      </c>
      <c r="L26" t="str">
        <f ca="1">VLOOKUP(H26,A:B,2,FALSE)</f>
        <v>福</v>
      </c>
      <c r="M26" s="6" t="str">
        <f ca="1">VLOOKUP(I26,C:D,2,FALSE)</f>
        <v>心伯</v>
      </c>
      <c r="AE26" t="s">
        <v>13</v>
      </c>
    </row>
    <row r="27" spans="1:31">
      <c r="A27">
        <f t="shared" si="0"/>
        <v>16</v>
      </c>
      <c r="B27" t="s">
        <v>77</v>
      </c>
      <c r="C27">
        <f t="shared" si="1"/>
        <v>26</v>
      </c>
      <c r="D27" t="s">
        <v>78</v>
      </c>
      <c r="H27">
        <f ca="1" t="shared" si="2"/>
        <v>155</v>
      </c>
      <c r="I27">
        <f ca="1" t="shared" si="4"/>
        <v>17</v>
      </c>
      <c r="K27" t="s">
        <v>46</v>
      </c>
      <c r="L27" t="str">
        <f ca="1">VLOOKUP(H27,A:B,2,FALSE)</f>
        <v>蔡</v>
      </c>
      <c r="M27" s="6" t="str">
        <f ca="1">VLOOKUP(I27,C:D,2,FALSE)</f>
        <v>小贝</v>
      </c>
      <c r="AE27" t="s">
        <v>79</v>
      </c>
    </row>
    <row r="28" spans="1:31">
      <c r="A28">
        <f t="shared" si="0"/>
        <v>17</v>
      </c>
      <c r="B28" t="s">
        <v>80</v>
      </c>
      <c r="C28">
        <f t="shared" si="1"/>
        <v>27</v>
      </c>
      <c r="D28" t="s">
        <v>81</v>
      </c>
      <c r="H28">
        <f ca="1" t="shared" si="2"/>
        <v>263</v>
      </c>
      <c r="I28">
        <f ca="1" t="shared" si="4"/>
        <v>18</v>
      </c>
      <c r="K28" t="s">
        <v>46</v>
      </c>
      <c r="L28" t="str">
        <f ca="1">VLOOKUP(H28,A:B,2,FALSE)</f>
        <v>蓟</v>
      </c>
      <c r="M28" s="6" t="str">
        <f ca="1">VLOOKUP(I28,C:D,2,FALSE)</f>
        <v>镕彪</v>
      </c>
      <c r="AE28" t="s">
        <v>15</v>
      </c>
    </row>
    <row r="29" spans="1:31">
      <c r="A29">
        <f t="shared" si="0"/>
        <v>18</v>
      </c>
      <c r="B29" t="s">
        <v>82</v>
      </c>
      <c r="C29">
        <f t="shared" si="1"/>
        <v>28</v>
      </c>
      <c r="D29" t="s">
        <v>83</v>
      </c>
      <c r="H29">
        <f ca="1" t="shared" si="2"/>
        <v>472</v>
      </c>
      <c r="I29">
        <f ca="1" t="shared" si="4"/>
        <v>32</v>
      </c>
      <c r="K29" t="s">
        <v>46</v>
      </c>
      <c r="L29" t="str">
        <f ca="1">VLOOKUP(H29,A:B,2,FALSE)</f>
        <v>空</v>
      </c>
      <c r="M29" s="6" t="str">
        <f ca="1">VLOOKUP(I29,C:D,2,FALSE)</f>
        <v>金甫</v>
      </c>
      <c r="AE29" t="s">
        <v>16</v>
      </c>
    </row>
    <row r="30" spans="1:31">
      <c r="A30">
        <f t="shared" si="0"/>
        <v>19</v>
      </c>
      <c r="B30" t="s">
        <v>84</v>
      </c>
      <c r="C30">
        <f t="shared" si="1"/>
        <v>29</v>
      </c>
      <c r="D30" t="s">
        <v>85</v>
      </c>
      <c r="H30">
        <f ca="1" t="shared" si="2"/>
        <v>335</v>
      </c>
      <c r="I30">
        <f ca="1" t="shared" si="4"/>
        <v>56</v>
      </c>
      <c r="K30" t="s">
        <v>46</v>
      </c>
      <c r="L30" t="str">
        <f ca="1">VLOOKUP(H30,A:B,2,FALSE)</f>
        <v>鱼</v>
      </c>
      <c r="M30" s="6" t="str">
        <f ca="1">VLOOKUP(I30,C:D,2,FALSE)</f>
        <v>州涵</v>
      </c>
      <c r="AE30" t="s">
        <v>17</v>
      </c>
    </row>
    <row r="31" spans="1:31">
      <c r="A31">
        <f t="shared" si="0"/>
        <v>20</v>
      </c>
      <c r="B31" t="s">
        <v>86</v>
      </c>
      <c r="C31">
        <f t="shared" si="1"/>
        <v>30</v>
      </c>
      <c r="D31" t="s">
        <v>87</v>
      </c>
      <c r="H31">
        <f ca="1" t="shared" si="2"/>
        <v>518</v>
      </c>
      <c r="I31">
        <f ca="1" t="shared" si="4"/>
        <v>32</v>
      </c>
      <c r="K31" t="s">
        <v>46</v>
      </c>
      <c r="L31" t="str">
        <f ca="1">VLOOKUP(H31,A:B,2,FALSE)</f>
        <v>郭</v>
      </c>
      <c r="M31" s="6" t="str">
        <f ca="1">VLOOKUP(I31,C:D,2,FALSE)</f>
        <v>金甫</v>
      </c>
      <c r="AE31" t="s">
        <v>88</v>
      </c>
    </row>
    <row r="32" spans="1:31">
      <c r="A32">
        <f t="shared" si="0"/>
        <v>21</v>
      </c>
      <c r="B32" t="s">
        <v>89</v>
      </c>
      <c r="C32">
        <f t="shared" si="1"/>
        <v>31</v>
      </c>
      <c r="D32" t="s">
        <v>90</v>
      </c>
      <c r="H32">
        <f ca="1" t="shared" si="2"/>
        <v>20</v>
      </c>
      <c r="I32">
        <f ca="1" t="shared" si="4"/>
        <v>16</v>
      </c>
      <c r="K32" t="s">
        <v>46</v>
      </c>
      <c r="L32" t="str">
        <f ca="1">VLOOKUP(H32,A:B,2,FALSE)</f>
        <v>许</v>
      </c>
      <c r="M32" s="6" t="str">
        <f ca="1">VLOOKUP(I32,C:D,2,FALSE)</f>
        <v>煦华</v>
      </c>
      <c r="AE32" t="s">
        <v>91</v>
      </c>
    </row>
    <row r="33" spans="1:31">
      <c r="A33">
        <f t="shared" si="0"/>
        <v>22</v>
      </c>
      <c r="B33" t="s">
        <v>92</v>
      </c>
      <c r="C33">
        <f t="shared" si="1"/>
        <v>32</v>
      </c>
      <c r="D33" t="s">
        <v>93</v>
      </c>
      <c r="H33">
        <f ca="1" t="shared" si="2"/>
        <v>60</v>
      </c>
      <c r="I33">
        <f ca="1" t="shared" si="4"/>
        <v>15</v>
      </c>
      <c r="K33" t="s">
        <v>46</v>
      </c>
      <c r="L33" t="str">
        <f ca="1">VLOOKUP(H33,A:B,2,FALSE)</f>
        <v>柳</v>
      </c>
      <c r="M33" s="6" t="str">
        <f ca="1">VLOOKUP(I33,C:D,2,FALSE)</f>
        <v>千雨</v>
      </c>
      <c r="AE33" t="s">
        <v>94</v>
      </c>
    </row>
    <row r="34" spans="1:31">
      <c r="A34">
        <f t="shared" si="0"/>
        <v>23</v>
      </c>
      <c r="B34" t="s">
        <v>95</v>
      </c>
      <c r="C34">
        <f t="shared" si="1"/>
        <v>33</v>
      </c>
      <c r="D34" t="s">
        <v>96</v>
      </c>
      <c r="H34">
        <f ca="1" t="shared" si="2"/>
        <v>163</v>
      </c>
      <c r="I34">
        <f ca="1" t="shared" si="4"/>
        <v>51</v>
      </c>
      <c r="K34" t="s">
        <v>46</v>
      </c>
      <c r="L34" t="str">
        <f ca="1">VLOOKUP(H34,A:B,2,FALSE)</f>
        <v>支</v>
      </c>
      <c r="M34" s="6" t="str">
        <f ca="1">VLOOKUP(I34,C:D,2,FALSE)</f>
        <v>柔汐</v>
      </c>
      <c r="AE34" t="s">
        <v>97</v>
      </c>
    </row>
    <row r="35" spans="1:31">
      <c r="A35">
        <f t="shared" si="0"/>
        <v>24</v>
      </c>
      <c r="B35" t="s">
        <v>98</v>
      </c>
      <c r="C35">
        <f t="shared" si="1"/>
        <v>34</v>
      </c>
      <c r="D35" t="s">
        <v>99</v>
      </c>
      <c r="H35">
        <f ca="1" t="shared" si="2"/>
        <v>38</v>
      </c>
      <c r="I35">
        <f ca="1" t="shared" si="4"/>
        <v>25</v>
      </c>
      <c r="K35" t="s">
        <v>46</v>
      </c>
      <c r="L35" t="str">
        <f ca="1">VLOOKUP(H35,A:B,2,FALSE)</f>
        <v>水</v>
      </c>
      <c r="M35" s="6" t="str">
        <f ca="1">VLOOKUP(I35,C:D,2,FALSE)</f>
        <v>士淋</v>
      </c>
      <c r="AE35" t="s">
        <v>100</v>
      </c>
    </row>
    <row r="36" spans="1:31">
      <c r="A36">
        <f t="shared" si="0"/>
        <v>25</v>
      </c>
      <c r="B36" t="s">
        <v>101</v>
      </c>
      <c r="C36">
        <f t="shared" si="1"/>
        <v>35</v>
      </c>
      <c r="D36" t="s">
        <v>102</v>
      </c>
      <c r="H36">
        <f ca="1" t="shared" si="2"/>
        <v>385</v>
      </c>
      <c r="I36">
        <f ca="1" t="shared" si="4"/>
        <v>19</v>
      </c>
      <c r="K36" t="s">
        <v>46</v>
      </c>
      <c r="L36" t="str">
        <f ca="1">VLOOKUP(H36,A:B,2,FALSE)</f>
        <v>曾</v>
      </c>
      <c r="M36" s="6" t="str">
        <f ca="1">VLOOKUP(I36,C:D,2,FALSE)</f>
        <v>川文</v>
      </c>
      <c r="AE36" t="s">
        <v>103</v>
      </c>
    </row>
    <row r="37" spans="1:31">
      <c r="A37">
        <f t="shared" si="0"/>
        <v>26</v>
      </c>
      <c r="B37" t="s">
        <v>104</v>
      </c>
      <c r="C37">
        <f t="shared" si="1"/>
        <v>36</v>
      </c>
      <c r="D37" t="s">
        <v>105</v>
      </c>
      <c r="H37">
        <f ca="1" t="shared" si="2"/>
        <v>97</v>
      </c>
      <c r="I37">
        <f ca="1" t="shared" si="4"/>
        <v>35</v>
      </c>
      <c r="K37" t="s">
        <v>46</v>
      </c>
      <c r="L37" t="str">
        <f ca="1">VLOOKUP(H37,A:B,2,FALSE)</f>
        <v>和</v>
      </c>
      <c r="M37" s="6" t="str">
        <f ca="1">VLOOKUP(I37,C:D,2,FALSE)</f>
        <v>新波</v>
      </c>
      <c r="AE37" t="s">
        <v>106</v>
      </c>
    </row>
    <row r="38" spans="1:31">
      <c r="A38">
        <f t="shared" si="0"/>
        <v>27</v>
      </c>
      <c r="B38" t="s">
        <v>107</v>
      </c>
      <c r="C38">
        <f t="shared" si="1"/>
        <v>37</v>
      </c>
      <c r="D38" t="s">
        <v>108</v>
      </c>
      <c r="H38">
        <f ca="1" t="shared" si="2"/>
        <v>27</v>
      </c>
      <c r="I38">
        <f ca="1" t="shared" si="4"/>
        <v>45</v>
      </c>
      <c r="K38" t="s">
        <v>46</v>
      </c>
      <c r="L38" t="str">
        <f ca="1">VLOOKUP(H38,A:B,2,FALSE)</f>
        <v>严</v>
      </c>
      <c r="M38" s="6" t="str">
        <f ca="1">VLOOKUP(I38,C:D,2,FALSE)</f>
        <v>睿洋</v>
      </c>
      <c r="AE38" t="s">
        <v>109</v>
      </c>
    </row>
    <row r="39" spans="1:31">
      <c r="A39">
        <f t="shared" si="0"/>
        <v>28</v>
      </c>
      <c r="B39" t="s">
        <v>110</v>
      </c>
      <c r="C39">
        <f t="shared" si="1"/>
        <v>38</v>
      </c>
      <c r="D39" t="s">
        <v>111</v>
      </c>
      <c r="H39">
        <f ca="1" t="shared" si="2"/>
        <v>192</v>
      </c>
      <c r="I39">
        <f ca="1" t="shared" si="4"/>
        <v>12</v>
      </c>
      <c r="K39" t="s">
        <v>46</v>
      </c>
      <c r="L39" t="str">
        <f ca="1">VLOOKUP(H39,A:B,2,FALSE)</f>
        <v>龚</v>
      </c>
      <c r="M39" s="6" t="str">
        <f ca="1">VLOOKUP(I39,C:D,2,FALSE)</f>
        <v>钦浩</v>
      </c>
      <c r="AE39" t="s">
        <v>112</v>
      </c>
    </row>
    <row r="40" spans="1:31">
      <c r="A40">
        <f t="shared" si="0"/>
        <v>29</v>
      </c>
      <c r="B40" t="s">
        <v>113</v>
      </c>
      <c r="C40">
        <f t="shared" si="1"/>
        <v>39</v>
      </c>
      <c r="D40" t="s">
        <v>114</v>
      </c>
      <c r="H40">
        <f ca="1" t="shared" si="2"/>
        <v>521</v>
      </c>
      <c r="I40">
        <f ca="1" t="shared" si="4"/>
        <v>28</v>
      </c>
      <c r="K40" t="s">
        <v>46</v>
      </c>
      <c r="L40" t="str">
        <f ca="1">VLOOKUP(H40,A:B,2,FALSE)</f>
        <v>呼</v>
      </c>
      <c r="M40" s="6" t="str">
        <f ca="1">VLOOKUP(I40,C:D,2,FALSE)</f>
        <v>镕华</v>
      </c>
      <c r="AE40" t="s">
        <v>115</v>
      </c>
    </row>
    <row r="41" spans="1:31">
      <c r="A41">
        <f t="shared" si="0"/>
        <v>30</v>
      </c>
      <c r="B41" t="s">
        <v>116</v>
      </c>
      <c r="C41">
        <f t="shared" si="1"/>
        <v>40</v>
      </c>
      <c r="D41" t="s">
        <v>117</v>
      </c>
      <c r="H41">
        <f ca="1" t="shared" si="2"/>
        <v>325</v>
      </c>
      <c r="I41">
        <f ca="1" t="shared" si="4"/>
        <v>55</v>
      </c>
      <c r="K41" t="s">
        <v>46</v>
      </c>
      <c r="L41" t="str">
        <f ca="1">VLOOKUP(H41,A:B,2,FALSE)</f>
        <v>柴</v>
      </c>
      <c r="M41" s="6" t="str">
        <f ca="1">VLOOKUP(I41,C:D,2,FALSE)</f>
        <v>心伯</v>
      </c>
      <c r="AE41" t="s">
        <v>118</v>
      </c>
    </row>
    <row r="42" spans="1:31">
      <c r="A42">
        <f t="shared" si="0"/>
        <v>31</v>
      </c>
      <c r="B42" t="s">
        <v>119</v>
      </c>
      <c r="C42">
        <f t="shared" si="1"/>
        <v>41</v>
      </c>
      <c r="D42" t="s">
        <v>120</v>
      </c>
      <c r="H42">
        <f ca="1" t="shared" si="2"/>
        <v>101</v>
      </c>
      <c r="I42">
        <f ca="1" t="shared" si="4"/>
        <v>4</v>
      </c>
      <c r="K42" t="s">
        <v>46</v>
      </c>
      <c r="L42" t="str">
        <f ca="1">VLOOKUP(H42,A:B,2,FALSE)</f>
        <v>姚</v>
      </c>
      <c r="M42" s="6" t="e">
        <f ca="1">VLOOKUP(I42,C:D,2,FALSE)</f>
        <v>#N/A</v>
      </c>
      <c r="AE42" t="s">
        <v>121</v>
      </c>
    </row>
    <row r="43" spans="1:31">
      <c r="A43">
        <f t="shared" si="0"/>
        <v>32</v>
      </c>
      <c r="B43" t="s">
        <v>122</v>
      </c>
      <c r="C43">
        <f t="shared" si="1"/>
        <v>42</v>
      </c>
      <c r="D43" t="s">
        <v>123</v>
      </c>
      <c r="H43">
        <f ca="1" t="shared" si="2"/>
        <v>236</v>
      </c>
      <c r="I43">
        <f ca="1" t="shared" si="4"/>
        <v>53</v>
      </c>
      <c r="K43" t="s">
        <v>46</v>
      </c>
      <c r="L43" t="str">
        <f ca="1">VLOOKUP(H43,A:B,2,FALSE)</f>
        <v>仰</v>
      </c>
      <c r="M43" s="6" t="str">
        <f ca="1">VLOOKUP(I43,C:D,2,FALSE)</f>
        <v>齐瀛</v>
      </c>
      <c r="AE43" t="s">
        <v>124</v>
      </c>
    </row>
    <row r="44" spans="1:31">
      <c r="A44">
        <f t="shared" si="0"/>
        <v>33</v>
      </c>
      <c r="B44" t="s">
        <v>125</v>
      </c>
      <c r="C44">
        <f t="shared" si="1"/>
        <v>43</v>
      </c>
      <c r="D44" t="s">
        <v>126</v>
      </c>
      <c r="H44">
        <f ca="1" t="shared" si="2"/>
        <v>410</v>
      </c>
      <c r="I44">
        <f ca="1" t="shared" si="4"/>
        <v>50</v>
      </c>
      <c r="K44" t="s">
        <v>46</v>
      </c>
      <c r="L44" t="str">
        <f ca="1">VLOOKUP(H44,A:B,2,FALSE)</f>
        <v>俟</v>
      </c>
      <c r="M44" s="6" t="str">
        <f ca="1">VLOOKUP(I44,C:D,2,FALSE)</f>
        <v>宗华</v>
      </c>
      <c r="AE44" t="s">
        <v>127</v>
      </c>
    </row>
    <row r="45" spans="1:31">
      <c r="A45">
        <f t="shared" si="0"/>
        <v>34</v>
      </c>
      <c r="B45" t="s">
        <v>128</v>
      </c>
      <c r="C45">
        <f t="shared" si="1"/>
        <v>44</v>
      </c>
      <c r="D45" t="s">
        <v>129</v>
      </c>
      <c r="AE45" t="s">
        <v>130</v>
      </c>
    </row>
    <row r="46" spans="1:31">
      <c r="A46">
        <f t="shared" si="0"/>
        <v>35</v>
      </c>
      <c r="B46" t="s">
        <v>131</v>
      </c>
      <c r="C46">
        <f t="shared" si="1"/>
        <v>45</v>
      </c>
      <c r="D46" t="s">
        <v>132</v>
      </c>
      <c r="AE46" t="s">
        <v>133</v>
      </c>
    </row>
    <row r="47" spans="1:31">
      <c r="A47">
        <f t="shared" si="0"/>
        <v>36</v>
      </c>
      <c r="B47" t="s">
        <v>134</v>
      </c>
      <c r="C47">
        <f t="shared" si="1"/>
        <v>46</v>
      </c>
      <c r="D47" t="s">
        <v>135</v>
      </c>
      <c r="AE47" t="s">
        <v>136</v>
      </c>
    </row>
    <row r="48" spans="1:31">
      <c r="A48">
        <f t="shared" si="0"/>
        <v>37</v>
      </c>
      <c r="B48" t="s">
        <v>137</v>
      </c>
      <c r="C48">
        <f t="shared" si="1"/>
        <v>47</v>
      </c>
      <c r="D48" t="s">
        <v>138</v>
      </c>
      <c r="AE48" t="s">
        <v>139</v>
      </c>
    </row>
    <row r="49" spans="1:31">
      <c r="A49">
        <f t="shared" si="0"/>
        <v>38</v>
      </c>
      <c r="B49" t="s">
        <v>140</v>
      </c>
      <c r="C49">
        <f t="shared" si="1"/>
        <v>48</v>
      </c>
      <c r="D49" t="s">
        <v>141</v>
      </c>
      <c r="AE49" t="s">
        <v>9</v>
      </c>
    </row>
    <row r="50" spans="1:31">
      <c r="A50">
        <f t="shared" si="0"/>
        <v>39</v>
      </c>
      <c r="B50" t="s">
        <v>142</v>
      </c>
      <c r="C50">
        <f t="shared" si="1"/>
        <v>49</v>
      </c>
      <c r="D50" t="s">
        <v>143</v>
      </c>
      <c r="AE50" t="s">
        <v>12</v>
      </c>
    </row>
    <row r="51" spans="1:31">
      <c r="A51">
        <f t="shared" si="0"/>
        <v>40</v>
      </c>
      <c r="B51" t="s">
        <v>144</v>
      </c>
      <c r="C51">
        <f t="shared" si="1"/>
        <v>50</v>
      </c>
      <c r="D51" t="s">
        <v>145</v>
      </c>
      <c r="AE51" t="s">
        <v>14</v>
      </c>
    </row>
    <row r="52" spans="1:31">
      <c r="A52">
        <f t="shared" si="0"/>
        <v>41</v>
      </c>
      <c r="B52" t="s">
        <v>146</v>
      </c>
      <c r="C52">
        <f t="shared" si="1"/>
        <v>51</v>
      </c>
      <c r="D52" t="s">
        <v>147</v>
      </c>
      <c r="AE52" t="s">
        <v>18</v>
      </c>
    </row>
    <row r="53" spans="1:31">
      <c r="A53">
        <f t="shared" si="0"/>
        <v>42</v>
      </c>
      <c r="B53" t="s">
        <v>148</v>
      </c>
      <c r="C53">
        <f t="shared" si="1"/>
        <v>52</v>
      </c>
      <c r="D53" t="s">
        <v>149</v>
      </c>
      <c r="AE53" t="s">
        <v>150</v>
      </c>
    </row>
    <row r="54" spans="1:31">
      <c r="A54">
        <f t="shared" si="0"/>
        <v>43</v>
      </c>
      <c r="B54" t="s">
        <v>151</v>
      </c>
      <c r="C54">
        <f t="shared" si="1"/>
        <v>53</v>
      </c>
      <c r="D54" t="s">
        <v>152</v>
      </c>
      <c r="AE54" t="s">
        <v>153</v>
      </c>
    </row>
    <row r="55" spans="1:4">
      <c r="A55">
        <f t="shared" si="0"/>
        <v>44</v>
      </c>
      <c r="B55" t="s">
        <v>154</v>
      </c>
      <c r="C55">
        <f t="shared" si="1"/>
        <v>54</v>
      </c>
      <c r="D55" t="s">
        <v>155</v>
      </c>
    </row>
    <row r="56" spans="1:4">
      <c r="A56">
        <f t="shared" si="0"/>
        <v>45</v>
      </c>
      <c r="B56" t="s">
        <v>156</v>
      </c>
      <c r="C56">
        <f t="shared" si="1"/>
        <v>55</v>
      </c>
      <c r="D56" t="s">
        <v>157</v>
      </c>
    </row>
    <row r="57" spans="1:4">
      <c r="A57">
        <f t="shared" si="0"/>
        <v>46</v>
      </c>
      <c r="B57" t="s">
        <v>158</v>
      </c>
      <c r="C57">
        <f t="shared" si="1"/>
        <v>56</v>
      </c>
      <c r="D57" t="s">
        <v>159</v>
      </c>
    </row>
    <row r="58" spans="1:4">
      <c r="A58">
        <f t="shared" si="0"/>
        <v>47</v>
      </c>
      <c r="B58" t="s">
        <v>160</v>
      </c>
      <c r="C58">
        <f t="shared" si="1"/>
        <v>57</v>
      </c>
      <c r="D58" t="s">
        <v>161</v>
      </c>
    </row>
    <row r="59" spans="1:4">
      <c r="A59">
        <f t="shared" si="0"/>
        <v>48</v>
      </c>
      <c r="B59" t="s">
        <v>162</v>
      </c>
      <c r="C59">
        <f t="shared" si="1"/>
        <v>58</v>
      </c>
      <c r="D59" t="s">
        <v>163</v>
      </c>
    </row>
    <row r="60" spans="1:4">
      <c r="A60">
        <f t="shared" si="0"/>
        <v>49</v>
      </c>
      <c r="B60" t="s">
        <v>164</v>
      </c>
      <c r="C60">
        <f t="shared" si="1"/>
        <v>59</v>
      </c>
      <c r="D60" t="s">
        <v>165</v>
      </c>
    </row>
    <row r="61" spans="1:4">
      <c r="A61">
        <f t="shared" si="0"/>
        <v>50</v>
      </c>
      <c r="B61" t="s">
        <v>166</v>
      </c>
      <c r="C61">
        <f t="shared" si="1"/>
        <v>60</v>
      </c>
      <c r="D61" t="s">
        <v>167</v>
      </c>
    </row>
    <row r="62" spans="1:4">
      <c r="A62">
        <f t="shared" si="0"/>
        <v>51</v>
      </c>
      <c r="B62" t="s">
        <v>168</v>
      </c>
      <c r="C62">
        <f t="shared" si="1"/>
        <v>61</v>
      </c>
      <c r="D62" t="s">
        <v>169</v>
      </c>
    </row>
    <row r="63" spans="1:4">
      <c r="A63">
        <f t="shared" si="0"/>
        <v>52</v>
      </c>
      <c r="B63" t="s">
        <v>170</v>
      </c>
      <c r="C63">
        <f t="shared" si="1"/>
        <v>62</v>
      </c>
      <c r="D63" t="s">
        <v>171</v>
      </c>
    </row>
    <row r="64" spans="1:4">
      <c r="A64">
        <f t="shared" si="0"/>
        <v>53</v>
      </c>
      <c r="B64" t="s">
        <v>172</v>
      </c>
      <c r="C64">
        <f t="shared" si="1"/>
        <v>63</v>
      </c>
      <c r="D64" t="s">
        <v>173</v>
      </c>
    </row>
    <row r="65" spans="1:4">
      <c r="A65">
        <f t="shared" si="0"/>
        <v>54</v>
      </c>
      <c r="B65" t="s">
        <v>174</v>
      </c>
      <c r="C65">
        <f t="shared" si="1"/>
        <v>64</v>
      </c>
      <c r="D65" t="s">
        <v>175</v>
      </c>
    </row>
    <row r="66" spans="1:4">
      <c r="A66">
        <f t="shared" si="0"/>
        <v>55</v>
      </c>
      <c r="B66" t="s">
        <v>176</v>
      </c>
      <c r="C66">
        <f t="shared" si="1"/>
        <v>65</v>
      </c>
      <c r="D66" t="s">
        <v>177</v>
      </c>
    </row>
    <row r="67" ht="17.25" spans="1:3">
      <c r="A67">
        <f t="shared" si="0"/>
        <v>56</v>
      </c>
      <c r="B67" t="s">
        <v>178</v>
      </c>
      <c r="C67" s="7"/>
    </row>
    <row r="68" ht="17.25" spans="1:3">
      <c r="A68">
        <f t="shared" si="0"/>
        <v>57</v>
      </c>
      <c r="B68" t="s">
        <v>179</v>
      </c>
      <c r="C68" s="7"/>
    </row>
    <row r="69" ht="17.25" spans="1:3">
      <c r="A69">
        <f t="shared" si="0"/>
        <v>58</v>
      </c>
      <c r="B69" t="s">
        <v>180</v>
      </c>
      <c r="C69" s="7"/>
    </row>
    <row r="70" ht="17.25" spans="1:3">
      <c r="A70">
        <f t="shared" si="0"/>
        <v>59</v>
      </c>
      <c r="B70" t="s">
        <v>181</v>
      </c>
      <c r="C70" s="7"/>
    </row>
    <row r="71" ht="17.25" spans="1:3">
      <c r="A71">
        <f t="shared" si="0"/>
        <v>60</v>
      </c>
      <c r="B71" t="s">
        <v>182</v>
      </c>
      <c r="C71" s="7"/>
    </row>
    <row r="72" ht="17.25" spans="1:3">
      <c r="A72">
        <f t="shared" si="0"/>
        <v>61</v>
      </c>
      <c r="B72" t="s">
        <v>183</v>
      </c>
      <c r="C72" s="7"/>
    </row>
    <row r="73" ht="17.25" spans="1:3">
      <c r="A73">
        <f t="shared" si="0"/>
        <v>62</v>
      </c>
      <c r="B73" t="s">
        <v>184</v>
      </c>
      <c r="C73" s="7"/>
    </row>
    <row r="74" ht="17.25" spans="1:3">
      <c r="A74">
        <f t="shared" si="0"/>
        <v>63</v>
      </c>
      <c r="B74" t="s">
        <v>185</v>
      </c>
      <c r="C74" s="7"/>
    </row>
    <row r="75" ht="17.25" spans="1:3">
      <c r="A75">
        <f t="shared" si="0"/>
        <v>64</v>
      </c>
      <c r="B75" t="s">
        <v>186</v>
      </c>
      <c r="C75" s="7"/>
    </row>
    <row r="76" ht="17.25" spans="1:3">
      <c r="A76">
        <f t="shared" ref="A76:A139" si="5">ROW()-11</f>
        <v>65</v>
      </c>
      <c r="B76" t="s">
        <v>187</v>
      </c>
      <c r="C76" s="7"/>
    </row>
    <row r="77" ht="17.25" spans="1:3">
      <c r="A77">
        <f t="shared" si="5"/>
        <v>66</v>
      </c>
      <c r="B77" t="s">
        <v>188</v>
      </c>
      <c r="C77" s="7"/>
    </row>
    <row r="78" ht="17.25" spans="1:3">
      <c r="A78">
        <f t="shared" si="5"/>
        <v>67</v>
      </c>
      <c r="B78" t="s">
        <v>189</v>
      </c>
      <c r="C78" s="7"/>
    </row>
    <row r="79" ht="17.25" spans="1:3">
      <c r="A79">
        <f t="shared" si="5"/>
        <v>68</v>
      </c>
      <c r="B79" t="s">
        <v>190</v>
      </c>
      <c r="C79" s="7"/>
    </row>
    <row r="80" ht="17.25" spans="1:3">
      <c r="A80">
        <f t="shared" si="5"/>
        <v>69</v>
      </c>
      <c r="B80" t="s">
        <v>191</v>
      </c>
      <c r="C80" s="7"/>
    </row>
    <row r="81" ht="17.25" spans="1:3">
      <c r="A81">
        <f t="shared" si="5"/>
        <v>70</v>
      </c>
      <c r="B81" t="s">
        <v>192</v>
      </c>
      <c r="C81" s="7"/>
    </row>
    <row r="82" ht="17.25" spans="1:3">
      <c r="A82">
        <f t="shared" si="5"/>
        <v>71</v>
      </c>
      <c r="B82" t="s">
        <v>193</v>
      </c>
      <c r="C82" s="7"/>
    </row>
    <row r="83" spans="1:2">
      <c r="A83">
        <f t="shared" si="5"/>
        <v>72</v>
      </c>
      <c r="B83" t="s">
        <v>194</v>
      </c>
    </row>
    <row r="84" spans="1:2">
      <c r="A84">
        <f t="shared" si="5"/>
        <v>73</v>
      </c>
      <c r="B84" t="s">
        <v>195</v>
      </c>
    </row>
    <row r="85" spans="1:2">
      <c r="A85">
        <f t="shared" si="5"/>
        <v>74</v>
      </c>
      <c r="B85" t="s">
        <v>196</v>
      </c>
    </row>
    <row r="86" spans="1:2">
      <c r="A86">
        <f t="shared" si="5"/>
        <v>75</v>
      </c>
      <c r="B86" t="s">
        <v>197</v>
      </c>
    </row>
    <row r="87" spans="1:2">
      <c r="A87">
        <f t="shared" si="5"/>
        <v>76</v>
      </c>
      <c r="B87" t="s">
        <v>198</v>
      </c>
    </row>
    <row r="88" spans="1:2">
      <c r="A88">
        <f t="shared" si="5"/>
        <v>77</v>
      </c>
      <c r="B88" t="s">
        <v>199</v>
      </c>
    </row>
    <row r="89" spans="1:2">
      <c r="A89">
        <f t="shared" si="5"/>
        <v>78</v>
      </c>
      <c r="B89" t="s">
        <v>200</v>
      </c>
    </row>
    <row r="90" spans="1:2">
      <c r="A90">
        <f t="shared" si="5"/>
        <v>79</v>
      </c>
      <c r="B90" t="s">
        <v>201</v>
      </c>
    </row>
    <row r="91" spans="1:2">
      <c r="A91">
        <f t="shared" si="5"/>
        <v>80</v>
      </c>
      <c r="B91" t="s">
        <v>202</v>
      </c>
    </row>
    <row r="92" spans="1:2">
      <c r="A92">
        <f t="shared" si="5"/>
        <v>81</v>
      </c>
      <c r="B92" t="s">
        <v>203</v>
      </c>
    </row>
    <row r="93" spans="1:2">
      <c r="A93">
        <f t="shared" si="5"/>
        <v>82</v>
      </c>
      <c r="B93" t="s">
        <v>204</v>
      </c>
    </row>
    <row r="94" spans="1:2">
      <c r="A94">
        <f t="shared" si="5"/>
        <v>83</v>
      </c>
      <c r="B94" t="s">
        <v>205</v>
      </c>
    </row>
    <row r="95" spans="1:2">
      <c r="A95">
        <f t="shared" si="5"/>
        <v>84</v>
      </c>
      <c r="B95" t="s">
        <v>206</v>
      </c>
    </row>
    <row r="96" spans="1:2">
      <c r="A96">
        <f t="shared" si="5"/>
        <v>85</v>
      </c>
      <c r="B96" t="s">
        <v>207</v>
      </c>
    </row>
    <row r="97" spans="1:2">
      <c r="A97">
        <f t="shared" si="5"/>
        <v>86</v>
      </c>
      <c r="B97" t="s">
        <v>208</v>
      </c>
    </row>
    <row r="98" spans="1:2">
      <c r="A98">
        <f t="shared" si="5"/>
        <v>87</v>
      </c>
      <c r="B98" t="s">
        <v>209</v>
      </c>
    </row>
    <row r="99" spans="1:2">
      <c r="A99">
        <f t="shared" si="5"/>
        <v>88</v>
      </c>
      <c r="B99" t="s">
        <v>210</v>
      </c>
    </row>
    <row r="100" spans="1:2">
      <c r="A100">
        <f t="shared" si="5"/>
        <v>89</v>
      </c>
      <c r="B100" t="s">
        <v>211</v>
      </c>
    </row>
    <row r="101" spans="1:2">
      <c r="A101">
        <f t="shared" si="5"/>
        <v>90</v>
      </c>
      <c r="B101" t="s">
        <v>212</v>
      </c>
    </row>
    <row r="102" spans="1:2">
      <c r="A102">
        <f t="shared" si="5"/>
        <v>91</v>
      </c>
      <c r="B102" t="s">
        <v>213</v>
      </c>
    </row>
    <row r="103" spans="1:2">
      <c r="A103">
        <f t="shared" si="5"/>
        <v>92</v>
      </c>
      <c r="B103" t="s">
        <v>214</v>
      </c>
    </row>
    <row r="104" spans="1:2">
      <c r="A104">
        <f t="shared" si="5"/>
        <v>93</v>
      </c>
      <c r="B104" t="s">
        <v>215</v>
      </c>
    </row>
    <row r="105" spans="1:2">
      <c r="A105">
        <f t="shared" si="5"/>
        <v>94</v>
      </c>
      <c r="B105" t="s">
        <v>216</v>
      </c>
    </row>
    <row r="106" spans="1:2">
      <c r="A106">
        <f t="shared" si="5"/>
        <v>95</v>
      </c>
      <c r="B106" t="s">
        <v>217</v>
      </c>
    </row>
    <row r="107" spans="1:2">
      <c r="A107">
        <f t="shared" si="5"/>
        <v>96</v>
      </c>
      <c r="B107" t="s">
        <v>218</v>
      </c>
    </row>
    <row r="108" spans="1:2">
      <c r="A108">
        <f t="shared" si="5"/>
        <v>97</v>
      </c>
      <c r="B108" t="s">
        <v>219</v>
      </c>
    </row>
    <row r="109" spans="1:2">
      <c r="A109">
        <f t="shared" si="5"/>
        <v>98</v>
      </c>
      <c r="B109" t="s">
        <v>220</v>
      </c>
    </row>
    <row r="110" spans="1:2">
      <c r="A110">
        <f t="shared" si="5"/>
        <v>99</v>
      </c>
      <c r="B110" t="s">
        <v>221</v>
      </c>
    </row>
    <row r="111" spans="1:2">
      <c r="A111">
        <f t="shared" si="5"/>
        <v>100</v>
      </c>
      <c r="B111" t="s">
        <v>222</v>
      </c>
    </row>
    <row r="112" spans="1:2">
      <c r="A112">
        <f t="shared" si="5"/>
        <v>101</v>
      </c>
      <c r="B112" t="s">
        <v>223</v>
      </c>
    </row>
    <row r="113" spans="1:2">
      <c r="A113">
        <f t="shared" si="5"/>
        <v>102</v>
      </c>
      <c r="B113" t="s">
        <v>224</v>
      </c>
    </row>
    <row r="114" spans="1:2">
      <c r="A114">
        <f t="shared" si="5"/>
        <v>103</v>
      </c>
      <c r="B114" t="s">
        <v>225</v>
      </c>
    </row>
    <row r="115" spans="1:2">
      <c r="A115">
        <f t="shared" si="5"/>
        <v>104</v>
      </c>
      <c r="B115" t="s">
        <v>226</v>
      </c>
    </row>
    <row r="116" spans="1:2">
      <c r="A116">
        <f t="shared" si="5"/>
        <v>105</v>
      </c>
      <c r="B116" t="s">
        <v>227</v>
      </c>
    </row>
    <row r="117" spans="1:2">
      <c r="A117">
        <f t="shared" si="5"/>
        <v>106</v>
      </c>
      <c r="B117" t="s">
        <v>228</v>
      </c>
    </row>
    <row r="118" spans="1:2">
      <c r="A118">
        <f t="shared" si="5"/>
        <v>107</v>
      </c>
      <c r="B118" t="s">
        <v>229</v>
      </c>
    </row>
    <row r="119" spans="1:2">
      <c r="A119">
        <f t="shared" si="5"/>
        <v>108</v>
      </c>
      <c r="B119" t="s">
        <v>230</v>
      </c>
    </row>
    <row r="120" spans="1:2">
      <c r="A120">
        <f t="shared" si="5"/>
        <v>109</v>
      </c>
      <c r="B120" t="s">
        <v>231</v>
      </c>
    </row>
    <row r="121" spans="1:2">
      <c r="A121">
        <f t="shared" si="5"/>
        <v>110</v>
      </c>
      <c r="B121" t="s">
        <v>232</v>
      </c>
    </row>
    <row r="122" spans="1:2">
      <c r="A122">
        <f t="shared" si="5"/>
        <v>111</v>
      </c>
      <c r="B122" t="s">
        <v>233</v>
      </c>
    </row>
    <row r="123" spans="1:2">
      <c r="A123">
        <f t="shared" si="5"/>
        <v>112</v>
      </c>
      <c r="B123" t="s">
        <v>234</v>
      </c>
    </row>
    <row r="124" spans="1:2">
      <c r="A124">
        <f t="shared" si="5"/>
        <v>113</v>
      </c>
      <c r="B124" t="s">
        <v>235</v>
      </c>
    </row>
    <row r="125" spans="1:2">
      <c r="A125">
        <f t="shared" si="5"/>
        <v>114</v>
      </c>
      <c r="B125" t="s">
        <v>236</v>
      </c>
    </row>
    <row r="126" spans="1:2">
      <c r="A126">
        <f t="shared" si="5"/>
        <v>115</v>
      </c>
      <c r="B126" t="s">
        <v>237</v>
      </c>
    </row>
    <row r="127" spans="1:2">
      <c r="A127">
        <f t="shared" si="5"/>
        <v>116</v>
      </c>
      <c r="B127" t="s">
        <v>238</v>
      </c>
    </row>
    <row r="128" spans="1:2">
      <c r="A128">
        <f t="shared" si="5"/>
        <v>117</v>
      </c>
      <c r="B128" t="s">
        <v>239</v>
      </c>
    </row>
    <row r="129" spans="1:2">
      <c r="A129">
        <f t="shared" si="5"/>
        <v>118</v>
      </c>
      <c r="B129" t="s">
        <v>240</v>
      </c>
    </row>
    <row r="130" spans="1:2">
      <c r="A130">
        <f t="shared" si="5"/>
        <v>119</v>
      </c>
      <c r="B130" t="s">
        <v>241</v>
      </c>
    </row>
    <row r="131" spans="1:2">
      <c r="A131">
        <f t="shared" si="5"/>
        <v>120</v>
      </c>
      <c r="B131" t="s">
        <v>242</v>
      </c>
    </row>
    <row r="132" spans="1:2">
      <c r="A132">
        <f t="shared" si="5"/>
        <v>121</v>
      </c>
      <c r="B132" t="s">
        <v>243</v>
      </c>
    </row>
    <row r="133" spans="1:2">
      <c r="A133">
        <f t="shared" si="5"/>
        <v>122</v>
      </c>
      <c r="B133" t="s">
        <v>244</v>
      </c>
    </row>
    <row r="134" spans="1:2">
      <c r="A134">
        <f t="shared" si="5"/>
        <v>123</v>
      </c>
      <c r="B134" t="s">
        <v>245</v>
      </c>
    </row>
    <row r="135" spans="1:2">
      <c r="A135">
        <f t="shared" si="5"/>
        <v>124</v>
      </c>
      <c r="B135" t="s">
        <v>246</v>
      </c>
    </row>
    <row r="136" spans="1:2">
      <c r="A136">
        <f t="shared" si="5"/>
        <v>125</v>
      </c>
      <c r="B136" t="s">
        <v>247</v>
      </c>
    </row>
    <row r="137" spans="1:2">
      <c r="A137">
        <f t="shared" si="5"/>
        <v>126</v>
      </c>
      <c r="B137" t="s">
        <v>248</v>
      </c>
    </row>
    <row r="138" spans="1:2">
      <c r="A138">
        <f t="shared" si="5"/>
        <v>127</v>
      </c>
      <c r="B138" t="s">
        <v>249</v>
      </c>
    </row>
    <row r="139" spans="1:2">
      <c r="A139">
        <f t="shared" si="5"/>
        <v>128</v>
      </c>
      <c r="B139" t="s">
        <v>250</v>
      </c>
    </row>
    <row r="140" spans="1:2">
      <c r="A140">
        <f t="shared" ref="A140:A203" si="6">ROW()-11</f>
        <v>129</v>
      </c>
      <c r="B140" t="s">
        <v>251</v>
      </c>
    </row>
    <row r="141" spans="1:2">
      <c r="A141">
        <f t="shared" si="6"/>
        <v>130</v>
      </c>
      <c r="B141" t="s">
        <v>252</v>
      </c>
    </row>
    <row r="142" spans="1:2">
      <c r="A142">
        <f t="shared" si="6"/>
        <v>131</v>
      </c>
      <c r="B142" t="s">
        <v>253</v>
      </c>
    </row>
    <row r="143" spans="1:2">
      <c r="A143">
        <f t="shared" si="6"/>
        <v>132</v>
      </c>
      <c r="B143" t="s">
        <v>254</v>
      </c>
    </row>
    <row r="144" spans="1:2">
      <c r="A144">
        <f t="shared" si="6"/>
        <v>133</v>
      </c>
      <c r="B144" t="s">
        <v>255</v>
      </c>
    </row>
    <row r="145" spans="1:2">
      <c r="A145">
        <f t="shared" si="6"/>
        <v>134</v>
      </c>
      <c r="B145" t="s">
        <v>256</v>
      </c>
    </row>
    <row r="146" spans="1:2">
      <c r="A146">
        <f t="shared" si="6"/>
        <v>135</v>
      </c>
      <c r="B146" t="s">
        <v>257</v>
      </c>
    </row>
    <row r="147" spans="1:2">
      <c r="A147">
        <f t="shared" si="6"/>
        <v>136</v>
      </c>
      <c r="B147" t="s">
        <v>258</v>
      </c>
    </row>
    <row r="148" spans="1:2">
      <c r="A148">
        <f t="shared" si="6"/>
        <v>137</v>
      </c>
      <c r="B148" t="s">
        <v>259</v>
      </c>
    </row>
    <row r="149" spans="1:2">
      <c r="A149">
        <f t="shared" si="6"/>
        <v>138</v>
      </c>
      <c r="B149" t="s">
        <v>260</v>
      </c>
    </row>
    <row r="150" spans="1:2">
      <c r="A150">
        <f t="shared" si="6"/>
        <v>139</v>
      </c>
      <c r="B150" t="s">
        <v>261</v>
      </c>
    </row>
    <row r="151" spans="1:2">
      <c r="A151">
        <f t="shared" si="6"/>
        <v>140</v>
      </c>
      <c r="B151" t="s">
        <v>262</v>
      </c>
    </row>
    <row r="152" spans="1:2">
      <c r="A152">
        <f t="shared" si="6"/>
        <v>141</v>
      </c>
      <c r="B152" t="s">
        <v>263</v>
      </c>
    </row>
    <row r="153" spans="1:2">
      <c r="A153">
        <f t="shared" si="6"/>
        <v>142</v>
      </c>
      <c r="B153" t="s">
        <v>264</v>
      </c>
    </row>
    <row r="154" spans="1:2">
      <c r="A154">
        <f t="shared" si="6"/>
        <v>143</v>
      </c>
      <c r="B154" t="s">
        <v>265</v>
      </c>
    </row>
    <row r="155" spans="1:2">
      <c r="A155">
        <f t="shared" si="6"/>
        <v>144</v>
      </c>
      <c r="B155" t="s">
        <v>266</v>
      </c>
    </row>
    <row r="156" spans="1:2">
      <c r="A156">
        <f t="shared" si="6"/>
        <v>145</v>
      </c>
      <c r="B156" t="s">
        <v>267</v>
      </c>
    </row>
    <row r="157" spans="1:2">
      <c r="A157">
        <f t="shared" si="6"/>
        <v>146</v>
      </c>
      <c r="B157" t="s">
        <v>268</v>
      </c>
    </row>
    <row r="158" spans="1:2">
      <c r="A158">
        <f t="shared" si="6"/>
        <v>147</v>
      </c>
      <c r="B158" t="s">
        <v>269</v>
      </c>
    </row>
    <row r="159" spans="1:2">
      <c r="A159">
        <f t="shared" si="6"/>
        <v>148</v>
      </c>
      <c r="B159" t="s">
        <v>270</v>
      </c>
    </row>
    <row r="160" spans="1:2">
      <c r="A160">
        <f t="shared" si="6"/>
        <v>149</v>
      </c>
      <c r="B160" t="s">
        <v>271</v>
      </c>
    </row>
    <row r="161" spans="1:2">
      <c r="A161">
        <f t="shared" si="6"/>
        <v>150</v>
      </c>
      <c r="B161" t="s">
        <v>272</v>
      </c>
    </row>
    <row r="162" spans="1:2">
      <c r="A162">
        <f t="shared" si="6"/>
        <v>151</v>
      </c>
      <c r="B162" t="s">
        <v>273</v>
      </c>
    </row>
    <row r="163" spans="1:2">
      <c r="A163">
        <f t="shared" si="6"/>
        <v>152</v>
      </c>
      <c r="B163" t="s">
        <v>274</v>
      </c>
    </row>
    <row r="164" spans="1:2">
      <c r="A164">
        <f t="shared" si="6"/>
        <v>153</v>
      </c>
      <c r="B164" t="s">
        <v>275</v>
      </c>
    </row>
    <row r="165" spans="1:2">
      <c r="A165">
        <f t="shared" si="6"/>
        <v>154</v>
      </c>
      <c r="B165" t="s">
        <v>276</v>
      </c>
    </row>
    <row r="166" spans="1:2">
      <c r="A166">
        <f t="shared" si="6"/>
        <v>155</v>
      </c>
      <c r="B166" t="s">
        <v>277</v>
      </c>
    </row>
    <row r="167" spans="1:2">
      <c r="A167">
        <f t="shared" si="6"/>
        <v>156</v>
      </c>
      <c r="B167" t="s">
        <v>278</v>
      </c>
    </row>
    <row r="168" spans="1:2">
      <c r="A168">
        <f t="shared" si="6"/>
        <v>157</v>
      </c>
      <c r="B168" t="s">
        <v>279</v>
      </c>
    </row>
    <row r="169" spans="1:2">
      <c r="A169">
        <f t="shared" si="6"/>
        <v>158</v>
      </c>
      <c r="B169" t="s">
        <v>280</v>
      </c>
    </row>
    <row r="170" spans="1:2">
      <c r="A170">
        <f t="shared" si="6"/>
        <v>159</v>
      </c>
      <c r="B170" t="s">
        <v>281</v>
      </c>
    </row>
    <row r="171" spans="1:2">
      <c r="A171">
        <f t="shared" si="6"/>
        <v>160</v>
      </c>
      <c r="B171" t="s">
        <v>282</v>
      </c>
    </row>
    <row r="172" spans="1:2">
      <c r="A172">
        <f t="shared" si="6"/>
        <v>161</v>
      </c>
      <c r="B172" t="s">
        <v>283</v>
      </c>
    </row>
    <row r="173" spans="1:2">
      <c r="A173">
        <f t="shared" si="6"/>
        <v>162</v>
      </c>
      <c r="B173" t="s">
        <v>284</v>
      </c>
    </row>
    <row r="174" spans="1:2">
      <c r="A174">
        <f t="shared" si="6"/>
        <v>163</v>
      </c>
      <c r="B174" t="s">
        <v>285</v>
      </c>
    </row>
    <row r="175" spans="1:2">
      <c r="A175">
        <f t="shared" si="6"/>
        <v>164</v>
      </c>
      <c r="B175" t="s">
        <v>286</v>
      </c>
    </row>
    <row r="176" spans="1:2">
      <c r="A176">
        <f t="shared" si="6"/>
        <v>165</v>
      </c>
      <c r="B176" t="s">
        <v>287</v>
      </c>
    </row>
    <row r="177" spans="1:2">
      <c r="A177">
        <f t="shared" si="6"/>
        <v>166</v>
      </c>
      <c r="B177" t="s">
        <v>288</v>
      </c>
    </row>
    <row r="178" spans="1:2">
      <c r="A178">
        <f t="shared" si="6"/>
        <v>167</v>
      </c>
      <c r="B178" t="s">
        <v>289</v>
      </c>
    </row>
    <row r="179" spans="1:2">
      <c r="A179">
        <f t="shared" si="6"/>
        <v>168</v>
      </c>
      <c r="B179" t="s">
        <v>290</v>
      </c>
    </row>
    <row r="180" spans="1:2">
      <c r="A180">
        <f t="shared" si="6"/>
        <v>169</v>
      </c>
      <c r="B180" t="s">
        <v>291</v>
      </c>
    </row>
    <row r="181" spans="1:2">
      <c r="A181">
        <f t="shared" si="6"/>
        <v>170</v>
      </c>
      <c r="B181" t="s">
        <v>292</v>
      </c>
    </row>
    <row r="182" spans="1:2">
      <c r="A182">
        <f t="shared" si="6"/>
        <v>171</v>
      </c>
      <c r="B182" t="s">
        <v>293</v>
      </c>
    </row>
    <row r="183" spans="1:2">
      <c r="A183">
        <f t="shared" si="6"/>
        <v>172</v>
      </c>
      <c r="B183" t="s">
        <v>294</v>
      </c>
    </row>
    <row r="184" spans="1:2">
      <c r="A184">
        <f t="shared" si="6"/>
        <v>173</v>
      </c>
      <c r="B184" t="s">
        <v>295</v>
      </c>
    </row>
    <row r="185" spans="1:2">
      <c r="A185">
        <f t="shared" si="6"/>
        <v>174</v>
      </c>
      <c r="B185" t="s">
        <v>296</v>
      </c>
    </row>
    <row r="186" spans="1:2">
      <c r="A186">
        <f t="shared" si="6"/>
        <v>175</v>
      </c>
      <c r="B186" t="s">
        <v>297</v>
      </c>
    </row>
    <row r="187" spans="1:2">
      <c r="A187">
        <f t="shared" si="6"/>
        <v>176</v>
      </c>
      <c r="B187" t="s">
        <v>298</v>
      </c>
    </row>
    <row r="188" spans="1:2">
      <c r="A188">
        <f t="shared" si="6"/>
        <v>177</v>
      </c>
      <c r="B188" t="s">
        <v>299</v>
      </c>
    </row>
    <row r="189" spans="1:2">
      <c r="A189">
        <f t="shared" si="6"/>
        <v>178</v>
      </c>
      <c r="B189" t="s">
        <v>300</v>
      </c>
    </row>
    <row r="190" spans="1:2">
      <c r="A190">
        <f t="shared" si="6"/>
        <v>179</v>
      </c>
      <c r="B190" t="s">
        <v>301</v>
      </c>
    </row>
    <row r="191" spans="1:2">
      <c r="A191">
        <f t="shared" si="6"/>
        <v>180</v>
      </c>
      <c r="B191" t="s">
        <v>302</v>
      </c>
    </row>
    <row r="192" spans="1:2">
      <c r="A192">
        <f t="shared" si="6"/>
        <v>181</v>
      </c>
      <c r="B192" t="s">
        <v>303</v>
      </c>
    </row>
    <row r="193" spans="1:2">
      <c r="A193">
        <f t="shared" si="6"/>
        <v>182</v>
      </c>
      <c r="B193" t="s">
        <v>304</v>
      </c>
    </row>
    <row r="194" spans="1:2">
      <c r="A194">
        <f t="shared" si="6"/>
        <v>183</v>
      </c>
      <c r="B194" t="s">
        <v>305</v>
      </c>
    </row>
    <row r="195" spans="1:2">
      <c r="A195">
        <f t="shared" si="6"/>
        <v>184</v>
      </c>
      <c r="B195" t="s">
        <v>306</v>
      </c>
    </row>
    <row r="196" spans="1:2">
      <c r="A196">
        <f t="shared" si="6"/>
        <v>185</v>
      </c>
      <c r="B196" t="s">
        <v>307</v>
      </c>
    </row>
    <row r="197" spans="1:2">
      <c r="A197">
        <f t="shared" si="6"/>
        <v>186</v>
      </c>
      <c r="B197" t="s">
        <v>308</v>
      </c>
    </row>
    <row r="198" spans="1:2">
      <c r="A198">
        <f t="shared" si="6"/>
        <v>187</v>
      </c>
      <c r="B198" t="s">
        <v>309</v>
      </c>
    </row>
    <row r="199" spans="1:2">
      <c r="A199">
        <f t="shared" si="6"/>
        <v>188</v>
      </c>
      <c r="B199" t="s">
        <v>310</v>
      </c>
    </row>
    <row r="200" spans="1:2">
      <c r="A200">
        <f t="shared" si="6"/>
        <v>189</v>
      </c>
      <c r="B200" t="s">
        <v>311</v>
      </c>
    </row>
    <row r="201" spans="1:2">
      <c r="A201">
        <f t="shared" si="6"/>
        <v>190</v>
      </c>
      <c r="B201" t="s">
        <v>312</v>
      </c>
    </row>
    <row r="202" spans="1:2">
      <c r="A202">
        <f t="shared" si="6"/>
        <v>191</v>
      </c>
      <c r="B202" t="s">
        <v>313</v>
      </c>
    </row>
    <row r="203" spans="1:2">
      <c r="A203">
        <f t="shared" si="6"/>
        <v>192</v>
      </c>
      <c r="B203" t="s">
        <v>314</v>
      </c>
    </row>
    <row r="204" spans="1:2">
      <c r="A204">
        <f t="shared" ref="A204:A267" si="7">ROW()-11</f>
        <v>193</v>
      </c>
      <c r="B204" t="s">
        <v>315</v>
      </c>
    </row>
    <row r="205" spans="1:2">
      <c r="A205">
        <f t="shared" si="7"/>
        <v>194</v>
      </c>
      <c r="B205" t="s">
        <v>316</v>
      </c>
    </row>
    <row r="206" spans="1:2">
      <c r="A206">
        <f t="shared" si="7"/>
        <v>195</v>
      </c>
      <c r="B206" t="s">
        <v>317</v>
      </c>
    </row>
    <row r="207" spans="1:2">
      <c r="A207">
        <f t="shared" si="7"/>
        <v>196</v>
      </c>
      <c r="B207" t="s">
        <v>318</v>
      </c>
    </row>
    <row r="208" spans="1:2">
      <c r="A208">
        <f t="shared" si="7"/>
        <v>197</v>
      </c>
      <c r="B208" t="s">
        <v>319</v>
      </c>
    </row>
    <row r="209" spans="1:2">
      <c r="A209">
        <f t="shared" si="7"/>
        <v>198</v>
      </c>
      <c r="B209" t="s">
        <v>320</v>
      </c>
    </row>
    <row r="210" spans="1:2">
      <c r="A210">
        <f t="shared" si="7"/>
        <v>199</v>
      </c>
      <c r="B210" t="s">
        <v>321</v>
      </c>
    </row>
    <row r="211" spans="1:2">
      <c r="A211">
        <f t="shared" si="7"/>
        <v>200</v>
      </c>
      <c r="B211" t="s">
        <v>322</v>
      </c>
    </row>
    <row r="212" spans="1:2">
      <c r="A212">
        <f t="shared" si="7"/>
        <v>201</v>
      </c>
      <c r="B212" t="s">
        <v>323</v>
      </c>
    </row>
    <row r="213" spans="1:2">
      <c r="A213">
        <f t="shared" si="7"/>
        <v>202</v>
      </c>
      <c r="B213" t="s">
        <v>324</v>
      </c>
    </row>
    <row r="214" spans="1:2">
      <c r="A214">
        <f t="shared" si="7"/>
        <v>203</v>
      </c>
      <c r="B214" t="s">
        <v>325</v>
      </c>
    </row>
    <row r="215" spans="1:2">
      <c r="A215">
        <f t="shared" si="7"/>
        <v>204</v>
      </c>
      <c r="B215" t="s">
        <v>326</v>
      </c>
    </row>
    <row r="216" spans="1:2">
      <c r="A216">
        <f t="shared" si="7"/>
        <v>205</v>
      </c>
      <c r="B216" t="s">
        <v>327</v>
      </c>
    </row>
    <row r="217" spans="1:2">
      <c r="A217">
        <f t="shared" si="7"/>
        <v>206</v>
      </c>
      <c r="B217" t="s">
        <v>328</v>
      </c>
    </row>
    <row r="218" spans="1:2">
      <c r="A218">
        <f t="shared" si="7"/>
        <v>207</v>
      </c>
      <c r="B218" t="s">
        <v>329</v>
      </c>
    </row>
    <row r="219" spans="1:2">
      <c r="A219">
        <f t="shared" si="7"/>
        <v>208</v>
      </c>
      <c r="B219" t="s">
        <v>330</v>
      </c>
    </row>
    <row r="220" spans="1:2">
      <c r="A220">
        <f t="shared" si="7"/>
        <v>209</v>
      </c>
      <c r="B220" t="s">
        <v>331</v>
      </c>
    </row>
    <row r="221" spans="1:2">
      <c r="A221">
        <f t="shared" si="7"/>
        <v>210</v>
      </c>
      <c r="B221" t="s">
        <v>332</v>
      </c>
    </row>
    <row r="222" spans="1:2">
      <c r="A222">
        <f t="shared" si="7"/>
        <v>211</v>
      </c>
      <c r="B222" t="s">
        <v>333</v>
      </c>
    </row>
    <row r="223" spans="1:2">
      <c r="A223">
        <f t="shared" si="7"/>
        <v>212</v>
      </c>
      <c r="B223" t="s">
        <v>334</v>
      </c>
    </row>
    <row r="224" spans="1:2">
      <c r="A224">
        <f t="shared" si="7"/>
        <v>213</v>
      </c>
      <c r="B224" t="s">
        <v>335</v>
      </c>
    </row>
    <row r="225" spans="1:2">
      <c r="A225">
        <f t="shared" si="7"/>
        <v>214</v>
      </c>
      <c r="B225" t="s">
        <v>336</v>
      </c>
    </row>
    <row r="226" spans="1:2">
      <c r="A226">
        <f t="shared" si="7"/>
        <v>215</v>
      </c>
      <c r="B226" t="s">
        <v>337</v>
      </c>
    </row>
    <row r="227" spans="1:2">
      <c r="A227">
        <f t="shared" si="7"/>
        <v>216</v>
      </c>
      <c r="B227" t="s">
        <v>338</v>
      </c>
    </row>
    <row r="228" spans="1:2">
      <c r="A228">
        <f t="shared" si="7"/>
        <v>217</v>
      </c>
      <c r="B228" t="s">
        <v>339</v>
      </c>
    </row>
    <row r="229" spans="1:2">
      <c r="A229">
        <f t="shared" si="7"/>
        <v>218</v>
      </c>
      <c r="B229" t="s">
        <v>340</v>
      </c>
    </row>
    <row r="230" spans="1:2">
      <c r="A230">
        <f t="shared" si="7"/>
        <v>219</v>
      </c>
      <c r="B230" t="s">
        <v>341</v>
      </c>
    </row>
    <row r="231" spans="1:2">
      <c r="A231">
        <f t="shared" si="7"/>
        <v>220</v>
      </c>
      <c r="B231" t="s">
        <v>342</v>
      </c>
    </row>
    <row r="232" spans="1:2">
      <c r="A232">
        <f t="shared" si="7"/>
        <v>221</v>
      </c>
      <c r="B232" t="s">
        <v>343</v>
      </c>
    </row>
    <row r="233" spans="1:2">
      <c r="A233">
        <f t="shared" si="7"/>
        <v>222</v>
      </c>
      <c r="B233" t="s">
        <v>344</v>
      </c>
    </row>
    <row r="234" spans="1:2">
      <c r="A234">
        <f t="shared" si="7"/>
        <v>223</v>
      </c>
      <c r="B234" t="s">
        <v>345</v>
      </c>
    </row>
    <row r="235" spans="1:2">
      <c r="A235">
        <f t="shared" si="7"/>
        <v>224</v>
      </c>
      <c r="B235" t="s">
        <v>346</v>
      </c>
    </row>
    <row r="236" spans="1:2">
      <c r="A236">
        <f t="shared" si="7"/>
        <v>225</v>
      </c>
      <c r="B236" t="s">
        <v>347</v>
      </c>
    </row>
    <row r="237" spans="1:2">
      <c r="A237">
        <f t="shared" si="7"/>
        <v>226</v>
      </c>
      <c r="B237" t="s">
        <v>348</v>
      </c>
    </row>
    <row r="238" spans="1:2">
      <c r="A238">
        <f t="shared" si="7"/>
        <v>227</v>
      </c>
      <c r="B238" t="s">
        <v>349</v>
      </c>
    </row>
    <row r="239" spans="1:2">
      <c r="A239">
        <f t="shared" si="7"/>
        <v>228</v>
      </c>
      <c r="B239" t="s">
        <v>350</v>
      </c>
    </row>
    <row r="240" spans="1:2">
      <c r="A240">
        <f t="shared" si="7"/>
        <v>229</v>
      </c>
      <c r="B240" t="s">
        <v>351</v>
      </c>
    </row>
    <row r="241" spans="1:2">
      <c r="A241">
        <f t="shared" si="7"/>
        <v>230</v>
      </c>
      <c r="B241" t="s">
        <v>352</v>
      </c>
    </row>
    <row r="242" spans="1:2">
      <c r="A242">
        <f t="shared" si="7"/>
        <v>231</v>
      </c>
      <c r="B242" t="s">
        <v>353</v>
      </c>
    </row>
    <row r="243" spans="1:2">
      <c r="A243">
        <f t="shared" si="7"/>
        <v>232</v>
      </c>
      <c r="B243" t="s">
        <v>354</v>
      </c>
    </row>
    <row r="244" spans="1:2">
      <c r="A244">
        <f t="shared" si="7"/>
        <v>233</v>
      </c>
      <c r="B244" t="s">
        <v>355</v>
      </c>
    </row>
    <row r="245" spans="1:2">
      <c r="A245">
        <f t="shared" si="7"/>
        <v>234</v>
      </c>
      <c r="B245" t="s">
        <v>356</v>
      </c>
    </row>
    <row r="246" spans="1:2">
      <c r="A246">
        <f t="shared" si="7"/>
        <v>235</v>
      </c>
      <c r="B246" t="s">
        <v>357</v>
      </c>
    </row>
    <row r="247" spans="1:2">
      <c r="A247">
        <f t="shared" si="7"/>
        <v>236</v>
      </c>
      <c r="B247" t="s">
        <v>358</v>
      </c>
    </row>
    <row r="248" spans="1:2">
      <c r="A248">
        <f t="shared" si="7"/>
        <v>237</v>
      </c>
      <c r="B248" t="s">
        <v>359</v>
      </c>
    </row>
    <row r="249" spans="1:2">
      <c r="A249">
        <f t="shared" si="7"/>
        <v>238</v>
      </c>
      <c r="B249" t="s">
        <v>360</v>
      </c>
    </row>
    <row r="250" spans="1:2">
      <c r="A250">
        <f t="shared" si="7"/>
        <v>239</v>
      </c>
      <c r="B250" t="s">
        <v>361</v>
      </c>
    </row>
    <row r="251" spans="1:2">
      <c r="A251">
        <f t="shared" si="7"/>
        <v>240</v>
      </c>
      <c r="B251" t="s">
        <v>362</v>
      </c>
    </row>
    <row r="252" spans="1:2">
      <c r="A252">
        <f t="shared" si="7"/>
        <v>241</v>
      </c>
      <c r="B252" t="s">
        <v>363</v>
      </c>
    </row>
    <row r="253" spans="1:2">
      <c r="A253">
        <f t="shared" si="7"/>
        <v>242</v>
      </c>
      <c r="B253" t="s">
        <v>364</v>
      </c>
    </row>
    <row r="254" spans="1:2">
      <c r="A254">
        <f t="shared" si="7"/>
        <v>243</v>
      </c>
      <c r="B254" t="s">
        <v>365</v>
      </c>
    </row>
    <row r="255" spans="1:2">
      <c r="A255">
        <f t="shared" si="7"/>
        <v>244</v>
      </c>
      <c r="B255" t="s">
        <v>366</v>
      </c>
    </row>
    <row r="256" spans="1:2">
      <c r="A256">
        <f t="shared" si="7"/>
        <v>245</v>
      </c>
      <c r="B256" t="s">
        <v>367</v>
      </c>
    </row>
    <row r="257" spans="1:2">
      <c r="A257">
        <f t="shared" si="7"/>
        <v>246</v>
      </c>
      <c r="B257" t="s">
        <v>368</v>
      </c>
    </row>
    <row r="258" spans="1:2">
      <c r="A258">
        <f t="shared" si="7"/>
        <v>247</v>
      </c>
      <c r="B258" t="s">
        <v>369</v>
      </c>
    </row>
    <row r="259" spans="1:2">
      <c r="A259">
        <f t="shared" si="7"/>
        <v>248</v>
      </c>
      <c r="B259" t="s">
        <v>370</v>
      </c>
    </row>
    <row r="260" spans="1:2">
      <c r="A260">
        <f t="shared" si="7"/>
        <v>249</v>
      </c>
      <c r="B260" t="s">
        <v>371</v>
      </c>
    </row>
    <row r="261" spans="1:2">
      <c r="A261">
        <f t="shared" si="7"/>
        <v>250</v>
      </c>
      <c r="B261" t="s">
        <v>372</v>
      </c>
    </row>
    <row r="262" spans="1:2">
      <c r="A262">
        <f t="shared" si="7"/>
        <v>251</v>
      </c>
      <c r="B262" t="s">
        <v>373</v>
      </c>
    </row>
    <row r="263" spans="1:2">
      <c r="A263">
        <f t="shared" si="7"/>
        <v>252</v>
      </c>
      <c r="B263" t="s">
        <v>374</v>
      </c>
    </row>
    <row r="264" spans="1:2">
      <c r="A264">
        <f t="shared" si="7"/>
        <v>253</v>
      </c>
      <c r="B264" t="s">
        <v>375</v>
      </c>
    </row>
    <row r="265" spans="1:2">
      <c r="A265">
        <f t="shared" si="7"/>
        <v>254</v>
      </c>
      <c r="B265" t="s">
        <v>376</v>
      </c>
    </row>
    <row r="266" spans="1:2">
      <c r="A266">
        <f t="shared" si="7"/>
        <v>255</v>
      </c>
      <c r="B266" t="s">
        <v>377</v>
      </c>
    </row>
    <row r="267" spans="1:2">
      <c r="A267">
        <f t="shared" si="7"/>
        <v>256</v>
      </c>
      <c r="B267" t="s">
        <v>378</v>
      </c>
    </row>
    <row r="268" spans="1:2">
      <c r="A268">
        <f t="shared" ref="A268:A331" si="8">ROW()-11</f>
        <v>257</v>
      </c>
      <c r="B268" t="s">
        <v>379</v>
      </c>
    </row>
    <row r="269" spans="1:2">
      <c r="A269">
        <f t="shared" si="8"/>
        <v>258</v>
      </c>
      <c r="B269" t="s">
        <v>380</v>
      </c>
    </row>
    <row r="270" spans="1:2">
      <c r="A270">
        <f t="shared" si="8"/>
        <v>259</v>
      </c>
      <c r="B270" t="s">
        <v>381</v>
      </c>
    </row>
    <row r="271" spans="1:2">
      <c r="A271">
        <f t="shared" si="8"/>
        <v>260</v>
      </c>
      <c r="B271" t="s">
        <v>382</v>
      </c>
    </row>
    <row r="272" spans="1:2">
      <c r="A272">
        <f t="shared" si="8"/>
        <v>261</v>
      </c>
      <c r="B272" t="s">
        <v>383</v>
      </c>
    </row>
    <row r="273" spans="1:2">
      <c r="A273">
        <f t="shared" si="8"/>
        <v>262</v>
      </c>
      <c r="B273" t="s">
        <v>384</v>
      </c>
    </row>
    <row r="274" spans="1:2">
      <c r="A274">
        <f t="shared" si="8"/>
        <v>263</v>
      </c>
      <c r="B274" t="s">
        <v>385</v>
      </c>
    </row>
    <row r="275" spans="1:2">
      <c r="A275">
        <f t="shared" si="8"/>
        <v>264</v>
      </c>
      <c r="B275" t="s">
        <v>386</v>
      </c>
    </row>
    <row r="276" spans="1:2">
      <c r="A276">
        <f t="shared" si="8"/>
        <v>265</v>
      </c>
      <c r="B276" t="s">
        <v>387</v>
      </c>
    </row>
    <row r="277" spans="1:2">
      <c r="A277">
        <f t="shared" si="8"/>
        <v>266</v>
      </c>
      <c r="B277" t="s">
        <v>388</v>
      </c>
    </row>
    <row r="278" spans="1:2">
      <c r="A278">
        <f t="shared" si="8"/>
        <v>267</v>
      </c>
      <c r="B278" t="s">
        <v>389</v>
      </c>
    </row>
    <row r="279" spans="1:2">
      <c r="A279">
        <f t="shared" si="8"/>
        <v>268</v>
      </c>
      <c r="B279" t="s">
        <v>390</v>
      </c>
    </row>
    <row r="280" spans="1:2">
      <c r="A280">
        <f t="shared" si="8"/>
        <v>269</v>
      </c>
      <c r="B280" t="s">
        <v>391</v>
      </c>
    </row>
    <row r="281" spans="1:2">
      <c r="A281">
        <f t="shared" si="8"/>
        <v>270</v>
      </c>
      <c r="B281" t="s">
        <v>392</v>
      </c>
    </row>
    <row r="282" spans="1:2">
      <c r="A282">
        <f t="shared" si="8"/>
        <v>271</v>
      </c>
      <c r="B282" t="s">
        <v>393</v>
      </c>
    </row>
    <row r="283" spans="1:2">
      <c r="A283">
        <f t="shared" si="8"/>
        <v>272</v>
      </c>
      <c r="B283" t="s">
        <v>394</v>
      </c>
    </row>
    <row r="284" spans="1:2">
      <c r="A284">
        <f t="shared" si="8"/>
        <v>273</v>
      </c>
      <c r="B284" t="s">
        <v>395</v>
      </c>
    </row>
    <row r="285" spans="1:2">
      <c r="A285">
        <f t="shared" si="8"/>
        <v>274</v>
      </c>
      <c r="B285" t="s">
        <v>396</v>
      </c>
    </row>
    <row r="286" spans="1:2">
      <c r="A286">
        <f t="shared" si="8"/>
        <v>275</v>
      </c>
      <c r="B286" t="s">
        <v>397</v>
      </c>
    </row>
    <row r="287" spans="1:2">
      <c r="A287">
        <f t="shared" si="8"/>
        <v>276</v>
      </c>
      <c r="B287" t="s">
        <v>398</v>
      </c>
    </row>
    <row r="288" spans="1:2">
      <c r="A288">
        <f t="shared" si="8"/>
        <v>277</v>
      </c>
      <c r="B288" t="s">
        <v>399</v>
      </c>
    </row>
    <row r="289" spans="1:2">
      <c r="A289">
        <f t="shared" si="8"/>
        <v>278</v>
      </c>
      <c r="B289" t="s">
        <v>400</v>
      </c>
    </row>
    <row r="290" spans="1:2">
      <c r="A290">
        <f t="shared" si="8"/>
        <v>279</v>
      </c>
      <c r="B290" t="s">
        <v>401</v>
      </c>
    </row>
    <row r="291" spans="1:2">
      <c r="A291">
        <f t="shared" si="8"/>
        <v>280</v>
      </c>
      <c r="B291" t="s">
        <v>402</v>
      </c>
    </row>
    <row r="292" spans="1:2">
      <c r="A292">
        <f t="shared" si="8"/>
        <v>281</v>
      </c>
      <c r="B292" t="s">
        <v>403</v>
      </c>
    </row>
    <row r="293" spans="1:2">
      <c r="A293">
        <f t="shared" si="8"/>
        <v>282</v>
      </c>
      <c r="B293" t="s">
        <v>404</v>
      </c>
    </row>
    <row r="294" spans="1:2">
      <c r="A294">
        <f t="shared" si="8"/>
        <v>283</v>
      </c>
      <c r="B294" t="s">
        <v>405</v>
      </c>
    </row>
    <row r="295" spans="1:2">
      <c r="A295">
        <f t="shared" si="8"/>
        <v>284</v>
      </c>
      <c r="B295" t="s">
        <v>406</v>
      </c>
    </row>
    <row r="296" spans="1:2">
      <c r="A296">
        <f t="shared" si="8"/>
        <v>285</v>
      </c>
      <c r="B296" t="s">
        <v>407</v>
      </c>
    </row>
    <row r="297" spans="1:2">
      <c r="A297">
        <f t="shared" si="8"/>
        <v>286</v>
      </c>
      <c r="B297" t="s">
        <v>408</v>
      </c>
    </row>
    <row r="298" spans="1:2">
      <c r="A298">
        <f t="shared" si="8"/>
        <v>287</v>
      </c>
      <c r="B298" t="s">
        <v>409</v>
      </c>
    </row>
    <row r="299" spans="1:2">
      <c r="A299">
        <f t="shared" si="8"/>
        <v>288</v>
      </c>
      <c r="B299" t="s">
        <v>410</v>
      </c>
    </row>
    <row r="300" spans="1:2">
      <c r="A300">
        <f t="shared" si="8"/>
        <v>289</v>
      </c>
      <c r="B300" t="s">
        <v>411</v>
      </c>
    </row>
    <row r="301" spans="1:2">
      <c r="A301">
        <f t="shared" si="8"/>
        <v>290</v>
      </c>
      <c r="B301" t="s">
        <v>412</v>
      </c>
    </row>
    <row r="302" spans="1:2">
      <c r="A302">
        <f t="shared" si="8"/>
        <v>291</v>
      </c>
      <c r="B302" t="s">
        <v>413</v>
      </c>
    </row>
    <row r="303" spans="1:2">
      <c r="A303">
        <f t="shared" si="8"/>
        <v>292</v>
      </c>
      <c r="B303" t="s">
        <v>414</v>
      </c>
    </row>
    <row r="304" spans="1:2">
      <c r="A304">
        <f t="shared" si="8"/>
        <v>293</v>
      </c>
      <c r="B304" t="s">
        <v>415</v>
      </c>
    </row>
    <row r="305" spans="1:2">
      <c r="A305">
        <f t="shared" si="8"/>
        <v>294</v>
      </c>
      <c r="B305" t="s">
        <v>416</v>
      </c>
    </row>
    <row r="306" spans="1:2">
      <c r="A306">
        <f t="shared" si="8"/>
        <v>295</v>
      </c>
      <c r="B306" t="s">
        <v>417</v>
      </c>
    </row>
    <row r="307" spans="1:2">
      <c r="A307">
        <f t="shared" si="8"/>
        <v>296</v>
      </c>
      <c r="B307" t="s">
        <v>418</v>
      </c>
    </row>
    <row r="308" spans="1:2">
      <c r="A308">
        <f t="shared" si="8"/>
        <v>297</v>
      </c>
      <c r="B308" t="s">
        <v>419</v>
      </c>
    </row>
    <row r="309" spans="1:2">
      <c r="A309">
        <f t="shared" si="8"/>
        <v>298</v>
      </c>
      <c r="B309" t="s">
        <v>420</v>
      </c>
    </row>
    <row r="310" spans="1:2">
      <c r="A310">
        <f t="shared" si="8"/>
        <v>299</v>
      </c>
      <c r="B310" t="s">
        <v>421</v>
      </c>
    </row>
    <row r="311" spans="1:2">
      <c r="A311">
        <f t="shared" si="8"/>
        <v>300</v>
      </c>
      <c r="B311" t="s">
        <v>422</v>
      </c>
    </row>
    <row r="312" spans="1:2">
      <c r="A312">
        <f t="shared" si="8"/>
        <v>301</v>
      </c>
      <c r="B312" t="s">
        <v>423</v>
      </c>
    </row>
    <row r="313" spans="1:2">
      <c r="A313">
        <f t="shared" si="8"/>
        <v>302</v>
      </c>
      <c r="B313" t="s">
        <v>424</v>
      </c>
    </row>
    <row r="314" spans="1:2">
      <c r="A314">
        <f t="shared" si="8"/>
        <v>303</v>
      </c>
      <c r="B314" t="s">
        <v>425</v>
      </c>
    </row>
    <row r="315" spans="1:2">
      <c r="A315">
        <f t="shared" si="8"/>
        <v>304</v>
      </c>
      <c r="B315" t="s">
        <v>426</v>
      </c>
    </row>
    <row r="316" spans="1:2">
      <c r="A316">
        <f t="shared" si="8"/>
        <v>305</v>
      </c>
      <c r="B316" t="s">
        <v>427</v>
      </c>
    </row>
    <row r="317" spans="1:2">
      <c r="A317">
        <f t="shared" si="8"/>
        <v>306</v>
      </c>
      <c r="B317" t="s">
        <v>428</v>
      </c>
    </row>
    <row r="318" spans="1:2">
      <c r="A318">
        <f t="shared" si="8"/>
        <v>307</v>
      </c>
      <c r="B318" t="s">
        <v>429</v>
      </c>
    </row>
    <row r="319" spans="1:2">
      <c r="A319">
        <f t="shared" si="8"/>
        <v>308</v>
      </c>
      <c r="B319" t="s">
        <v>430</v>
      </c>
    </row>
    <row r="320" spans="1:2">
      <c r="A320">
        <f t="shared" si="8"/>
        <v>309</v>
      </c>
      <c r="B320" t="s">
        <v>431</v>
      </c>
    </row>
    <row r="321" spans="1:2">
      <c r="A321">
        <f t="shared" si="8"/>
        <v>310</v>
      </c>
      <c r="B321" t="s">
        <v>432</v>
      </c>
    </row>
    <row r="322" spans="1:2">
      <c r="A322">
        <f t="shared" si="8"/>
        <v>311</v>
      </c>
      <c r="B322" t="s">
        <v>433</v>
      </c>
    </row>
    <row r="323" spans="1:2">
      <c r="A323">
        <f t="shared" si="8"/>
        <v>312</v>
      </c>
      <c r="B323" t="s">
        <v>434</v>
      </c>
    </row>
    <row r="324" spans="1:2">
      <c r="A324">
        <f t="shared" si="8"/>
        <v>313</v>
      </c>
      <c r="B324" t="s">
        <v>435</v>
      </c>
    </row>
    <row r="325" spans="1:2">
      <c r="A325">
        <f t="shared" si="8"/>
        <v>314</v>
      </c>
      <c r="B325" t="s">
        <v>436</v>
      </c>
    </row>
    <row r="326" spans="1:2">
      <c r="A326">
        <f t="shared" si="8"/>
        <v>315</v>
      </c>
      <c r="B326" t="s">
        <v>437</v>
      </c>
    </row>
    <row r="327" spans="1:2">
      <c r="A327">
        <f t="shared" si="8"/>
        <v>316</v>
      </c>
      <c r="B327" t="s">
        <v>438</v>
      </c>
    </row>
    <row r="328" spans="1:2">
      <c r="A328">
        <f t="shared" si="8"/>
        <v>317</v>
      </c>
      <c r="B328" t="s">
        <v>439</v>
      </c>
    </row>
    <row r="329" spans="1:2">
      <c r="A329">
        <f t="shared" si="8"/>
        <v>318</v>
      </c>
      <c r="B329" t="s">
        <v>440</v>
      </c>
    </row>
    <row r="330" spans="1:2">
      <c r="A330">
        <f t="shared" si="8"/>
        <v>319</v>
      </c>
      <c r="B330" t="s">
        <v>441</v>
      </c>
    </row>
    <row r="331" spans="1:2">
      <c r="A331">
        <f t="shared" si="8"/>
        <v>320</v>
      </c>
      <c r="B331" t="s">
        <v>442</v>
      </c>
    </row>
    <row r="332" spans="1:2">
      <c r="A332">
        <f t="shared" ref="A332:A395" si="9">ROW()-11</f>
        <v>321</v>
      </c>
      <c r="B332" t="s">
        <v>443</v>
      </c>
    </row>
    <row r="333" spans="1:2">
      <c r="A333">
        <f t="shared" si="9"/>
        <v>322</v>
      </c>
      <c r="B333" t="s">
        <v>444</v>
      </c>
    </row>
    <row r="334" spans="1:2">
      <c r="A334">
        <f t="shared" si="9"/>
        <v>323</v>
      </c>
      <c r="B334" t="s">
        <v>445</v>
      </c>
    </row>
    <row r="335" spans="1:2">
      <c r="A335">
        <f t="shared" si="9"/>
        <v>324</v>
      </c>
      <c r="B335" t="s">
        <v>446</v>
      </c>
    </row>
    <row r="336" spans="1:2">
      <c r="A336">
        <f t="shared" si="9"/>
        <v>325</v>
      </c>
      <c r="B336" t="s">
        <v>447</v>
      </c>
    </row>
    <row r="337" spans="1:2">
      <c r="A337">
        <f t="shared" si="9"/>
        <v>326</v>
      </c>
      <c r="B337" t="s">
        <v>448</v>
      </c>
    </row>
    <row r="338" spans="1:2">
      <c r="A338">
        <f t="shared" si="9"/>
        <v>327</v>
      </c>
      <c r="B338" t="s">
        <v>449</v>
      </c>
    </row>
    <row r="339" spans="1:2">
      <c r="A339">
        <f t="shared" si="9"/>
        <v>328</v>
      </c>
      <c r="B339" t="s">
        <v>450</v>
      </c>
    </row>
    <row r="340" spans="1:2">
      <c r="A340">
        <f t="shared" si="9"/>
        <v>329</v>
      </c>
      <c r="B340" t="s">
        <v>451</v>
      </c>
    </row>
    <row r="341" spans="1:2">
      <c r="A341">
        <f t="shared" si="9"/>
        <v>330</v>
      </c>
      <c r="B341" t="s">
        <v>452</v>
      </c>
    </row>
    <row r="342" spans="1:2">
      <c r="A342">
        <f t="shared" si="9"/>
        <v>331</v>
      </c>
      <c r="B342" t="s">
        <v>453</v>
      </c>
    </row>
    <row r="343" spans="1:2">
      <c r="A343">
        <f t="shared" si="9"/>
        <v>332</v>
      </c>
      <c r="B343" t="s">
        <v>454</v>
      </c>
    </row>
    <row r="344" spans="1:2">
      <c r="A344">
        <f t="shared" si="9"/>
        <v>333</v>
      </c>
      <c r="B344" t="s">
        <v>455</v>
      </c>
    </row>
    <row r="345" spans="1:2">
      <c r="A345">
        <f t="shared" si="9"/>
        <v>334</v>
      </c>
      <c r="B345" t="s">
        <v>456</v>
      </c>
    </row>
    <row r="346" spans="1:2">
      <c r="A346">
        <f t="shared" si="9"/>
        <v>335</v>
      </c>
      <c r="B346" t="s">
        <v>457</v>
      </c>
    </row>
    <row r="347" spans="1:2">
      <c r="A347">
        <f t="shared" si="9"/>
        <v>336</v>
      </c>
      <c r="B347" t="s">
        <v>458</v>
      </c>
    </row>
    <row r="348" spans="1:2">
      <c r="A348">
        <f t="shared" si="9"/>
        <v>337</v>
      </c>
      <c r="B348" t="s">
        <v>459</v>
      </c>
    </row>
    <row r="349" spans="1:2">
      <c r="A349">
        <f t="shared" si="9"/>
        <v>338</v>
      </c>
      <c r="B349" t="s">
        <v>460</v>
      </c>
    </row>
    <row r="350" spans="1:2">
      <c r="A350">
        <f t="shared" si="9"/>
        <v>339</v>
      </c>
      <c r="B350" t="s">
        <v>461</v>
      </c>
    </row>
    <row r="351" spans="1:2">
      <c r="A351">
        <f t="shared" si="9"/>
        <v>340</v>
      </c>
      <c r="B351" t="s">
        <v>462</v>
      </c>
    </row>
    <row r="352" spans="1:2">
      <c r="A352">
        <f t="shared" si="9"/>
        <v>341</v>
      </c>
      <c r="B352" t="s">
        <v>463</v>
      </c>
    </row>
    <row r="353" spans="1:2">
      <c r="A353">
        <f t="shared" si="9"/>
        <v>342</v>
      </c>
      <c r="B353" t="s">
        <v>464</v>
      </c>
    </row>
    <row r="354" spans="1:2">
      <c r="A354">
        <f t="shared" si="9"/>
        <v>343</v>
      </c>
      <c r="B354" t="s">
        <v>465</v>
      </c>
    </row>
    <row r="355" spans="1:2">
      <c r="A355">
        <f t="shared" si="9"/>
        <v>344</v>
      </c>
      <c r="B355" t="s">
        <v>466</v>
      </c>
    </row>
    <row r="356" spans="1:2">
      <c r="A356">
        <f t="shared" si="9"/>
        <v>345</v>
      </c>
      <c r="B356" t="s">
        <v>467</v>
      </c>
    </row>
    <row r="357" spans="1:2">
      <c r="A357">
        <f t="shared" si="9"/>
        <v>346</v>
      </c>
      <c r="B357" t="s">
        <v>468</v>
      </c>
    </row>
    <row r="358" spans="1:2">
      <c r="A358">
        <f t="shared" si="9"/>
        <v>347</v>
      </c>
      <c r="B358" t="s">
        <v>469</v>
      </c>
    </row>
    <row r="359" spans="1:2">
      <c r="A359">
        <f t="shared" si="9"/>
        <v>348</v>
      </c>
      <c r="B359" t="s">
        <v>470</v>
      </c>
    </row>
    <row r="360" spans="1:2">
      <c r="A360">
        <f t="shared" si="9"/>
        <v>349</v>
      </c>
      <c r="B360" t="s">
        <v>471</v>
      </c>
    </row>
    <row r="361" spans="1:2">
      <c r="A361">
        <f t="shared" si="9"/>
        <v>350</v>
      </c>
      <c r="B361" t="s">
        <v>472</v>
      </c>
    </row>
    <row r="362" spans="1:2">
      <c r="A362">
        <f t="shared" si="9"/>
        <v>351</v>
      </c>
      <c r="B362" t="s">
        <v>473</v>
      </c>
    </row>
    <row r="363" spans="1:2">
      <c r="A363">
        <f t="shared" si="9"/>
        <v>352</v>
      </c>
      <c r="B363" t="s">
        <v>474</v>
      </c>
    </row>
    <row r="364" spans="1:2">
      <c r="A364">
        <f t="shared" si="9"/>
        <v>353</v>
      </c>
      <c r="B364" t="s">
        <v>475</v>
      </c>
    </row>
    <row r="365" spans="1:2">
      <c r="A365">
        <f t="shared" si="9"/>
        <v>354</v>
      </c>
      <c r="B365" t="s">
        <v>476</v>
      </c>
    </row>
    <row r="366" spans="1:2">
      <c r="A366">
        <f t="shared" si="9"/>
        <v>355</v>
      </c>
      <c r="B366" t="s">
        <v>477</v>
      </c>
    </row>
    <row r="367" spans="1:2">
      <c r="A367">
        <f t="shared" si="9"/>
        <v>356</v>
      </c>
      <c r="B367" t="s">
        <v>478</v>
      </c>
    </row>
    <row r="368" spans="1:2">
      <c r="A368">
        <f t="shared" si="9"/>
        <v>357</v>
      </c>
      <c r="B368" t="s">
        <v>479</v>
      </c>
    </row>
    <row r="369" spans="1:2">
      <c r="A369">
        <f t="shared" si="9"/>
        <v>358</v>
      </c>
      <c r="B369" t="s">
        <v>480</v>
      </c>
    </row>
    <row r="370" spans="1:2">
      <c r="A370">
        <f t="shared" si="9"/>
        <v>359</v>
      </c>
      <c r="B370" t="s">
        <v>481</v>
      </c>
    </row>
    <row r="371" spans="1:2">
      <c r="A371">
        <f t="shared" si="9"/>
        <v>360</v>
      </c>
      <c r="B371" t="s">
        <v>482</v>
      </c>
    </row>
    <row r="372" spans="1:2">
      <c r="A372">
        <f t="shared" si="9"/>
        <v>361</v>
      </c>
      <c r="B372" t="s">
        <v>483</v>
      </c>
    </row>
    <row r="373" spans="1:2">
      <c r="A373">
        <f t="shared" si="9"/>
        <v>362</v>
      </c>
      <c r="B373" t="s">
        <v>484</v>
      </c>
    </row>
    <row r="374" spans="1:2">
      <c r="A374">
        <f t="shared" si="9"/>
        <v>363</v>
      </c>
      <c r="B374" t="s">
        <v>485</v>
      </c>
    </row>
    <row r="375" spans="1:2">
      <c r="A375">
        <f t="shared" si="9"/>
        <v>364</v>
      </c>
      <c r="B375" t="s">
        <v>486</v>
      </c>
    </row>
    <row r="376" spans="1:2">
      <c r="A376">
        <f t="shared" si="9"/>
        <v>365</v>
      </c>
      <c r="B376" t="s">
        <v>487</v>
      </c>
    </row>
    <row r="377" spans="1:2">
      <c r="A377">
        <f t="shared" si="9"/>
        <v>366</v>
      </c>
      <c r="B377" t="s">
        <v>488</v>
      </c>
    </row>
    <row r="378" spans="1:2">
      <c r="A378">
        <f t="shared" si="9"/>
        <v>367</v>
      </c>
      <c r="B378" t="s">
        <v>489</v>
      </c>
    </row>
    <row r="379" spans="1:2">
      <c r="A379">
        <f t="shared" si="9"/>
        <v>368</v>
      </c>
      <c r="B379" t="s">
        <v>490</v>
      </c>
    </row>
    <row r="380" spans="1:2">
      <c r="A380">
        <f t="shared" si="9"/>
        <v>369</v>
      </c>
      <c r="B380" t="s">
        <v>491</v>
      </c>
    </row>
    <row r="381" spans="1:2">
      <c r="A381">
        <f t="shared" si="9"/>
        <v>370</v>
      </c>
      <c r="B381" t="s">
        <v>492</v>
      </c>
    </row>
    <row r="382" spans="1:2">
      <c r="A382">
        <f t="shared" si="9"/>
        <v>371</v>
      </c>
      <c r="B382" t="s">
        <v>493</v>
      </c>
    </row>
    <row r="383" spans="1:2">
      <c r="A383">
        <f t="shared" si="9"/>
        <v>372</v>
      </c>
      <c r="B383" t="s">
        <v>494</v>
      </c>
    </row>
    <row r="384" spans="1:2">
      <c r="A384">
        <f t="shared" si="9"/>
        <v>373</v>
      </c>
      <c r="B384" t="s">
        <v>495</v>
      </c>
    </row>
    <row r="385" spans="1:2">
      <c r="A385">
        <f t="shared" si="9"/>
        <v>374</v>
      </c>
      <c r="B385" t="s">
        <v>496</v>
      </c>
    </row>
    <row r="386" spans="1:2">
      <c r="A386">
        <f t="shared" si="9"/>
        <v>375</v>
      </c>
      <c r="B386" t="s">
        <v>497</v>
      </c>
    </row>
    <row r="387" spans="1:2">
      <c r="A387">
        <f t="shared" si="9"/>
        <v>376</v>
      </c>
      <c r="B387" t="s">
        <v>498</v>
      </c>
    </row>
    <row r="388" spans="1:2">
      <c r="A388">
        <f t="shared" si="9"/>
        <v>377</v>
      </c>
      <c r="B388" t="s">
        <v>499</v>
      </c>
    </row>
    <row r="389" spans="1:2">
      <c r="A389">
        <f t="shared" si="9"/>
        <v>378</v>
      </c>
      <c r="B389" t="s">
        <v>500</v>
      </c>
    </row>
    <row r="390" spans="1:2">
      <c r="A390">
        <f t="shared" si="9"/>
        <v>379</v>
      </c>
      <c r="B390" t="s">
        <v>501</v>
      </c>
    </row>
    <row r="391" spans="1:2">
      <c r="A391">
        <f t="shared" si="9"/>
        <v>380</v>
      </c>
      <c r="B391" t="s">
        <v>502</v>
      </c>
    </row>
    <row r="392" spans="1:2">
      <c r="A392">
        <f t="shared" si="9"/>
        <v>381</v>
      </c>
      <c r="B392" t="s">
        <v>503</v>
      </c>
    </row>
    <row r="393" spans="1:2">
      <c r="A393">
        <f t="shared" si="9"/>
        <v>382</v>
      </c>
      <c r="B393" t="s">
        <v>504</v>
      </c>
    </row>
    <row r="394" spans="1:2">
      <c r="A394">
        <f t="shared" si="9"/>
        <v>383</v>
      </c>
      <c r="B394" t="s">
        <v>505</v>
      </c>
    </row>
    <row r="395" spans="1:2">
      <c r="A395">
        <f t="shared" si="9"/>
        <v>384</v>
      </c>
      <c r="B395" t="s">
        <v>506</v>
      </c>
    </row>
    <row r="396" spans="1:2">
      <c r="A396">
        <f t="shared" ref="A396:A459" si="10">ROW()-11</f>
        <v>385</v>
      </c>
      <c r="B396" t="s">
        <v>507</v>
      </c>
    </row>
    <row r="397" spans="1:2">
      <c r="A397">
        <f t="shared" si="10"/>
        <v>386</v>
      </c>
      <c r="B397" t="s">
        <v>508</v>
      </c>
    </row>
    <row r="398" spans="1:2">
      <c r="A398">
        <f t="shared" si="10"/>
        <v>387</v>
      </c>
      <c r="B398" t="s">
        <v>509</v>
      </c>
    </row>
    <row r="399" spans="1:2">
      <c r="A399">
        <f t="shared" si="10"/>
        <v>388</v>
      </c>
      <c r="B399" t="s">
        <v>510</v>
      </c>
    </row>
    <row r="400" spans="1:2">
      <c r="A400">
        <f t="shared" si="10"/>
        <v>389</v>
      </c>
      <c r="B400" t="s">
        <v>511</v>
      </c>
    </row>
    <row r="401" spans="1:2">
      <c r="A401">
        <f t="shared" si="10"/>
        <v>390</v>
      </c>
      <c r="B401" t="s">
        <v>512</v>
      </c>
    </row>
    <row r="402" spans="1:2">
      <c r="A402">
        <f t="shared" si="10"/>
        <v>391</v>
      </c>
      <c r="B402" t="s">
        <v>513</v>
      </c>
    </row>
    <row r="403" spans="1:2">
      <c r="A403">
        <f t="shared" si="10"/>
        <v>392</v>
      </c>
      <c r="B403" t="s">
        <v>514</v>
      </c>
    </row>
    <row r="404" spans="1:2">
      <c r="A404">
        <f t="shared" si="10"/>
        <v>393</v>
      </c>
      <c r="B404" t="s">
        <v>515</v>
      </c>
    </row>
    <row r="405" spans="1:2">
      <c r="A405">
        <f t="shared" si="10"/>
        <v>394</v>
      </c>
      <c r="B405" t="s">
        <v>516</v>
      </c>
    </row>
    <row r="406" spans="1:2">
      <c r="A406">
        <f t="shared" si="10"/>
        <v>395</v>
      </c>
      <c r="B406" t="s">
        <v>517</v>
      </c>
    </row>
    <row r="407" spans="1:2">
      <c r="A407">
        <f t="shared" si="10"/>
        <v>396</v>
      </c>
      <c r="B407" t="s">
        <v>518</v>
      </c>
    </row>
    <row r="408" spans="1:2">
      <c r="A408">
        <f t="shared" si="10"/>
        <v>397</v>
      </c>
      <c r="B408" t="s">
        <v>519</v>
      </c>
    </row>
    <row r="409" spans="1:2">
      <c r="A409">
        <f t="shared" si="10"/>
        <v>398</v>
      </c>
      <c r="B409" t="s">
        <v>520</v>
      </c>
    </row>
    <row r="410" spans="1:2">
      <c r="A410">
        <f t="shared" si="10"/>
        <v>399</v>
      </c>
      <c r="B410" t="s">
        <v>521</v>
      </c>
    </row>
    <row r="411" spans="1:2">
      <c r="A411">
        <f t="shared" si="10"/>
        <v>400</v>
      </c>
      <c r="B411" t="s">
        <v>522</v>
      </c>
    </row>
    <row r="412" spans="1:2">
      <c r="A412">
        <f t="shared" si="10"/>
        <v>401</v>
      </c>
      <c r="B412" t="s">
        <v>523</v>
      </c>
    </row>
    <row r="413" spans="1:2">
      <c r="A413">
        <f t="shared" si="10"/>
        <v>402</v>
      </c>
      <c r="B413" t="s">
        <v>524</v>
      </c>
    </row>
    <row r="414" spans="1:2">
      <c r="A414">
        <f t="shared" si="10"/>
        <v>403</v>
      </c>
      <c r="B414" t="s">
        <v>525</v>
      </c>
    </row>
    <row r="415" spans="1:2">
      <c r="A415">
        <f t="shared" si="10"/>
        <v>404</v>
      </c>
      <c r="B415" t="s">
        <v>526</v>
      </c>
    </row>
    <row r="416" spans="1:2">
      <c r="A416">
        <f t="shared" si="10"/>
        <v>405</v>
      </c>
      <c r="B416" t="s">
        <v>527</v>
      </c>
    </row>
    <row r="417" spans="1:2">
      <c r="A417">
        <f t="shared" si="10"/>
        <v>406</v>
      </c>
      <c r="B417" t="s">
        <v>528</v>
      </c>
    </row>
    <row r="418" spans="1:2">
      <c r="A418">
        <f t="shared" si="10"/>
        <v>407</v>
      </c>
      <c r="B418" t="s">
        <v>529</v>
      </c>
    </row>
    <row r="419" spans="1:2">
      <c r="A419">
        <f t="shared" si="10"/>
        <v>408</v>
      </c>
      <c r="B419" t="s">
        <v>530</v>
      </c>
    </row>
    <row r="420" spans="1:2">
      <c r="A420">
        <f t="shared" si="10"/>
        <v>409</v>
      </c>
      <c r="B420" t="s">
        <v>284</v>
      </c>
    </row>
    <row r="421" spans="1:2">
      <c r="A421">
        <f t="shared" si="10"/>
        <v>410</v>
      </c>
      <c r="B421" t="s">
        <v>531</v>
      </c>
    </row>
    <row r="422" spans="1:2">
      <c r="A422">
        <f t="shared" si="10"/>
        <v>411</v>
      </c>
      <c r="B422" t="s">
        <v>381</v>
      </c>
    </row>
    <row r="423" spans="1:2">
      <c r="A423">
        <f t="shared" si="10"/>
        <v>412</v>
      </c>
      <c r="B423" t="s">
        <v>170</v>
      </c>
    </row>
    <row r="424" spans="1:2">
      <c r="A424">
        <f t="shared" si="10"/>
        <v>413</v>
      </c>
      <c r="B424" t="s">
        <v>532</v>
      </c>
    </row>
    <row r="425" spans="1:2">
      <c r="A425">
        <f t="shared" si="10"/>
        <v>414</v>
      </c>
      <c r="B425" t="s">
        <v>533</v>
      </c>
    </row>
    <row r="426" spans="1:2">
      <c r="A426">
        <f t="shared" si="10"/>
        <v>415</v>
      </c>
      <c r="B426" t="s">
        <v>483</v>
      </c>
    </row>
    <row r="427" spans="1:2">
      <c r="A427">
        <f t="shared" si="10"/>
        <v>416</v>
      </c>
      <c r="B427" t="s">
        <v>534</v>
      </c>
    </row>
    <row r="428" spans="1:2">
      <c r="A428">
        <f t="shared" si="10"/>
        <v>417</v>
      </c>
      <c r="B428" t="s">
        <v>276</v>
      </c>
    </row>
    <row r="429" spans="1:2">
      <c r="A429">
        <f t="shared" si="10"/>
        <v>418</v>
      </c>
      <c r="B429" t="s">
        <v>352</v>
      </c>
    </row>
    <row r="430" spans="1:2">
      <c r="A430">
        <f t="shared" si="10"/>
        <v>419</v>
      </c>
      <c r="B430" t="s">
        <v>308</v>
      </c>
    </row>
    <row r="431" spans="1:2">
      <c r="A431">
        <f t="shared" si="10"/>
        <v>420</v>
      </c>
      <c r="B431" t="s">
        <v>154</v>
      </c>
    </row>
    <row r="432" spans="1:2">
      <c r="A432">
        <f t="shared" si="10"/>
        <v>421</v>
      </c>
      <c r="B432" t="s">
        <v>411</v>
      </c>
    </row>
    <row r="433" spans="1:2">
      <c r="A433">
        <f t="shared" si="10"/>
        <v>422</v>
      </c>
      <c r="B433" t="s">
        <v>535</v>
      </c>
    </row>
    <row r="434" spans="1:2">
      <c r="A434">
        <f t="shared" si="10"/>
        <v>423</v>
      </c>
      <c r="B434" t="s">
        <v>482</v>
      </c>
    </row>
    <row r="435" spans="1:2">
      <c r="A435">
        <f t="shared" si="10"/>
        <v>424</v>
      </c>
      <c r="B435" t="s">
        <v>178</v>
      </c>
    </row>
    <row r="436" spans="1:2">
      <c r="A436">
        <f t="shared" si="10"/>
        <v>425</v>
      </c>
      <c r="B436" t="s">
        <v>536</v>
      </c>
    </row>
    <row r="437" spans="1:2">
      <c r="A437">
        <f t="shared" si="10"/>
        <v>426</v>
      </c>
      <c r="B437" t="s">
        <v>452</v>
      </c>
    </row>
    <row r="438" spans="1:2">
      <c r="A438">
        <f t="shared" si="10"/>
        <v>427</v>
      </c>
      <c r="B438" t="s">
        <v>537</v>
      </c>
    </row>
    <row r="439" spans="1:2">
      <c r="A439">
        <f t="shared" si="10"/>
        <v>428</v>
      </c>
      <c r="B439" t="s">
        <v>538</v>
      </c>
    </row>
    <row r="440" spans="1:2">
      <c r="A440">
        <f t="shared" si="10"/>
        <v>429</v>
      </c>
      <c r="B440" t="s">
        <v>539</v>
      </c>
    </row>
    <row r="441" spans="1:2">
      <c r="A441">
        <f t="shared" si="10"/>
        <v>430</v>
      </c>
      <c r="B441" t="s">
        <v>540</v>
      </c>
    </row>
    <row r="442" spans="1:2">
      <c r="A442">
        <f t="shared" si="10"/>
        <v>431</v>
      </c>
      <c r="B442" t="s">
        <v>530</v>
      </c>
    </row>
    <row r="443" spans="1:2">
      <c r="A443">
        <f t="shared" si="10"/>
        <v>432</v>
      </c>
      <c r="B443" t="s">
        <v>324</v>
      </c>
    </row>
    <row r="444" spans="1:2">
      <c r="A444">
        <f t="shared" si="10"/>
        <v>433</v>
      </c>
      <c r="B444" t="s">
        <v>541</v>
      </c>
    </row>
    <row r="445" spans="1:2">
      <c r="A445">
        <f t="shared" si="10"/>
        <v>434</v>
      </c>
      <c r="B445" t="s">
        <v>542</v>
      </c>
    </row>
    <row r="446" spans="1:2">
      <c r="A446">
        <f t="shared" si="10"/>
        <v>435</v>
      </c>
      <c r="B446" t="s">
        <v>530</v>
      </c>
    </row>
    <row r="447" spans="1:2">
      <c r="A447">
        <f t="shared" si="10"/>
        <v>436</v>
      </c>
      <c r="B447" t="s">
        <v>543</v>
      </c>
    </row>
    <row r="448" spans="1:2">
      <c r="A448">
        <f t="shared" si="10"/>
        <v>437</v>
      </c>
      <c r="B448" t="s">
        <v>298</v>
      </c>
    </row>
    <row r="449" spans="1:2">
      <c r="A449">
        <f t="shared" si="10"/>
        <v>438</v>
      </c>
      <c r="B449" t="s">
        <v>544</v>
      </c>
    </row>
    <row r="450" spans="1:2">
      <c r="A450">
        <f t="shared" si="10"/>
        <v>439</v>
      </c>
      <c r="B450" t="s">
        <v>431</v>
      </c>
    </row>
    <row r="451" spans="1:2">
      <c r="A451">
        <f t="shared" si="10"/>
        <v>440</v>
      </c>
      <c r="B451" t="s">
        <v>534</v>
      </c>
    </row>
    <row r="452" spans="1:2">
      <c r="A452">
        <f t="shared" si="10"/>
        <v>441</v>
      </c>
      <c r="B452" t="s">
        <v>545</v>
      </c>
    </row>
    <row r="453" spans="1:2">
      <c r="A453">
        <f t="shared" si="10"/>
        <v>442</v>
      </c>
      <c r="B453" t="s">
        <v>204</v>
      </c>
    </row>
    <row r="454" spans="1:2">
      <c r="A454">
        <f t="shared" si="10"/>
        <v>443</v>
      </c>
      <c r="B454" t="s">
        <v>304</v>
      </c>
    </row>
    <row r="455" spans="1:2">
      <c r="A455">
        <f t="shared" si="10"/>
        <v>444</v>
      </c>
      <c r="B455" t="s">
        <v>204</v>
      </c>
    </row>
    <row r="456" spans="1:2">
      <c r="A456">
        <f t="shared" si="10"/>
        <v>445</v>
      </c>
      <c r="B456" t="s">
        <v>546</v>
      </c>
    </row>
    <row r="457" spans="1:2">
      <c r="A457">
        <f t="shared" si="10"/>
        <v>446</v>
      </c>
      <c r="B457" t="s">
        <v>547</v>
      </c>
    </row>
    <row r="458" spans="1:2">
      <c r="A458">
        <f t="shared" si="10"/>
        <v>447</v>
      </c>
      <c r="B458" t="s">
        <v>420</v>
      </c>
    </row>
    <row r="459" spans="1:2">
      <c r="A459">
        <f t="shared" si="10"/>
        <v>448</v>
      </c>
      <c r="B459" t="s">
        <v>401</v>
      </c>
    </row>
    <row r="460" spans="1:2">
      <c r="A460">
        <f t="shared" ref="A460:A523" si="11">ROW()-11</f>
        <v>449</v>
      </c>
      <c r="B460" t="s">
        <v>530</v>
      </c>
    </row>
    <row r="461" spans="1:2">
      <c r="A461">
        <f t="shared" si="11"/>
        <v>450</v>
      </c>
      <c r="B461" t="s">
        <v>49</v>
      </c>
    </row>
    <row r="462" spans="1:2">
      <c r="A462">
        <f t="shared" si="11"/>
        <v>451</v>
      </c>
      <c r="B462" t="s">
        <v>360</v>
      </c>
    </row>
    <row r="463" spans="1:2">
      <c r="A463">
        <f t="shared" si="11"/>
        <v>452</v>
      </c>
      <c r="B463" t="s">
        <v>49</v>
      </c>
    </row>
    <row r="464" spans="1:2">
      <c r="A464">
        <f t="shared" si="11"/>
        <v>453</v>
      </c>
      <c r="B464" t="s">
        <v>548</v>
      </c>
    </row>
    <row r="465" spans="1:2">
      <c r="A465">
        <f t="shared" si="11"/>
        <v>454</v>
      </c>
      <c r="B465" t="s">
        <v>549</v>
      </c>
    </row>
    <row r="466" spans="1:2">
      <c r="A466">
        <f t="shared" si="11"/>
        <v>455</v>
      </c>
      <c r="B466" t="s">
        <v>550</v>
      </c>
    </row>
    <row r="467" spans="1:2">
      <c r="A467">
        <f t="shared" si="11"/>
        <v>456</v>
      </c>
      <c r="B467" t="s">
        <v>551</v>
      </c>
    </row>
    <row r="468" spans="1:2">
      <c r="A468">
        <f t="shared" si="11"/>
        <v>457</v>
      </c>
      <c r="B468" t="s">
        <v>271</v>
      </c>
    </row>
    <row r="469" spans="1:2">
      <c r="A469">
        <f t="shared" si="11"/>
        <v>458</v>
      </c>
      <c r="B469" t="s">
        <v>552</v>
      </c>
    </row>
    <row r="470" spans="1:2">
      <c r="A470">
        <f t="shared" si="11"/>
        <v>459</v>
      </c>
      <c r="B470" t="s">
        <v>553</v>
      </c>
    </row>
    <row r="471" spans="1:2">
      <c r="A471">
        <f t="shared" si="11"/>
        <v>460</v>
      </c>
      <c r="B471" t="s">
        <v>477</v>
      </c>
    </row>
    <row r="472" spans="1:2">
      <c r="A472">
        <f t="shared" si="11"/>
        <v>461</v>
      </c>
      <c r="B472" t="s">
        <v>554</v>
      </c>
    </row>
    <row r="473" spans="1:2">
      <c r="A473">
        <f t="shared" si="11"/>
        <v>462</v>
      </c>
      <c r="B473" t="s">
        <v>49</v>
      </c>
    </row>
    <row r="474" spans="1:2">
      <c r="A474">
        <f t="shared" si="11"/>
        <v>463</v>
      </c>
      <c r="B474" t="s">
        <v>451</v>
      </c>
    </row>
    <row r="475" spans="1:2">
      <c r="A475">
        <f t="shared" si="11"/>
        <v>464</v>
      </c>
      <c r="B475" t="s">
        <v>458</v>
      </c>
    </row>
    <row r="476" spans="1:2">
      <c r="A476">
        <f t="shared" si="11"/>
        <v>465</v>
      </c>
      <c r="B476" t="s">
        <v>555</v>
      </c>
    </row>
    <row r="477" spans="1:2">
      <c r="A477">
        <f t="shared" si="11"/>
        <v>466</v>
      </c>
      <c r="B477" t="s">
        <v>204</v>
      </c>
    </row>
    <row r="478" spans="1:2">
      <c r="A478">
        <f t="shared" si="11"/>
        <v>467</v>
      </c>
      <c r="B478" t="s">
        <v>556</v>
      </c>
    </row>
    <row r="479" spans="1:2">
      <c r="A479">
        <f t="shared" si="11"/>
        <v>468</v>
      </c>
      <c r="B479" t="s">
        <v>557</v>
      </c>
    </row>
    <row r="480" spans="1:2">
      <c r="A480">
        <f t="shared" si="11"/>
        <v>469</v>
      </c>
      <c r="B480" t="s">
        <v>381</v>
      </c>
    </row>
    <row r="481" spans="1:2">
      <c r="A481">
        <f t="shared" si="11"/>
        <v>470</v>
      </c>
      <c r="B481" t="s">
        <v>558</v>
      </c>
    </row>
    <row r="482" spans="1:2">
      <c r="A482">
        <f t="shared" si="11"/>
        <v>471</v>
      </c>
      <c r="B482" t="s">
        <v>381</v>
      </c>
    </row>
    <row r="483" spans="1:2">
      <c r="A483">
        <f t="shared" si="11"/>
        <v>472</v>
      </c>
      <c r="B483" t="s">
        <v>506</v>
      </c>
    </row>
    <row r="484" spans="1:2">
      <c r="A484">
        <f t="shared" si="11"/>
        <v>473</v>
      </c>
      <c r="B484" t="s">
        <v>559</v>
      </c>
    </row>
    <row r="485" spans="1:2">
      <c r="A485">
        <f t="shared" si="11"/>
        <v>474</v>
      </c>
      <c r="B485" t="s">
        <v>533</v>
      </c>
    </row>
    <row r="486" spans="1:2">
      <c r="A486">
        <f t="shared" si="11"/>
        <v>475</v>
      </c>
      <c r="B486" t="s">
        <v>381</v>
      </c>
    </row>
    <row r="487" spans="1:2">
      <c r="A487">
        <f t="shared" si="11"/>
        <v>476</v>
      </c>
      <c r="B487" t="s">
        <v>478</v>
      </c>
    </row>
    <row r="488" spans="1:2">
      <c r="A488">
        <f t="shared" si="11"/>
        <v>477</v>
      </c>
      <c r="B488" t="s">
        <v>560</v>
      </c>
    </row>
    <row r="489" spans="1:2">
      <c r="A489">
        <f t="shared" si="11"/>
        <v>478</v>
      </c>
      <c r="B489" t="s">
        <v>561</v>
      </c>
    </row>
    <row r="490" spans="1:2">
      <c r="A490">
        <f t="shared" si="11"/>
        <v>479</v>
      </c>
      <c r="B490" t="s">
        <v>562</v>
      </c>
    </row>
    <row r="491" spans="1:2">
      <c r="A491">
        <f t="shared" si="11"/>
        <v>480</v>
      </c>
      <c r="B491" t="s">
        <v>351</v>
      </c>
    </row>
    <row r="492" spans="1:2">
      <c r="A492">
        <f t="shared" si="11"/>
        <v>481</v>
      </c>
      <c r="B492" t="s">
        <v>563</v>
      </c>
    </row>
    <row r="493" spans="1:2">
      <c r="A493">
        <f t="shared" si="11"/>
        <v>482</v>
      </c>
      <c r="B493" t="s">
        <v>49</v>
      </c>
    </row>
    <row r="494" spans="1:2">
      <c r="A494">
        <f t="shared" si="11"/>
        <v>483</v>
      </c>
      <c r="B494" t="s">
        <v>564</v>
      </c>
    </row>
    <row r="495" spans="1:2">
      <c r="A495">
        <f t="shared" si="11"/>
        <v>484</v>
      </c>
      <c r="B495" t="s">
        <v>565</v>
      </c>
    </row>
    <row r="496" spans="1:2">
      <c r="A496">
        <f t="shared" si="11"/>
        <v>485</v>
      </c>
      <c r="B496" t="s">
        <v>342</v>
      </c>
    </row>
    <row r="497" spans="1:2">
      <c r="A497">
        <f t="shared" si="11"/>
        <v>486</v>
      </c>
      <c r="B497" t="s">
        <v>170</v>
      </c>
    </row>
    <row r="498" spans="1:2">
      <c r="A498">
        <f t="shared" si="11"/>
        <v>487</v>
      </c>
      <c r="B498" t="s">
        <v>530</v>
      </c>
    </row>
    <row r="499" spans="1:2">
      <c r="A499">
        <f t="shared" si="11"/>
        <v>488</v>
      </c>
      <c r="B499" t="s">
        <v>566</v>
      </c>
    </row>
    <row r="500" spans="1:2">
      <c r="A500">
        <f t="shared" si="11"/>
        <v>489</v>
      </c>
      <c r="B500" t="s">
        <v>567</v>
      </c>
    </row>
    <row r="501" spans="1:2">
      <c r="A501">
        <f t="shared" si="11"/>
        <v>490</v>
      </c>
      <c r="B501" t="s">
        <v>568</v>
      </c>
    </row>
    <row r="502" spans="1:2">
      <c r="A502">
        <f t="shared" si="11"/>
        <v>491</v>
      </c>
      <c r="B502" t="s">
        <v>203</v>
      </c>
    </row>
    <row r="503" spans="1:2">
      <c r="A503">
        <f t="shared" si="11"/>
        <v>492</v>
      </c>
      <c r="B503" t="s">
        <v>569</v>
      </c>
    </row>
    <row r="504" spans="1:2">
      <c r="A504">
        <f t="shared" si="11"/>
        <v>493</v>
      </c>
      <c r="B504" t="s">
        <v>570</v>
      </c>
    </row>
    <row r="505" spans="1:2">
      <c r="A505">
        <f t="shared" si="11"/>
        <v>494</v>
      </c>
      <c r="B505" t="s">
        <v>571</v>
      </c>
    </row>
    <row r="506" spans="1:2">
      <c r="A506">
        <f t="shared" si="11"/>
        <v>495</v>
      </c>
      <c r="B506" t="s">
        <v>530</v>
      </c>
    </row>
    <row r="507" spans="1:2">
      <c r="A507">
        <f t="shared" si="11"/>
        <v>496</v>
      </c>
      <c r="B507" t="s">
        <v>572</v>
      </c>
    </row>
    <row r="508" spans="1:2">
      <c r="A508">
        <f t="shared" si="11"/>
        <v>497</v>
      </c>
      <c r="B508" t="s">
        <v>573</v>
      </c>
    </row>
    <row r="509" spans="1:2">
      <c r="A509">
        <f t="shared" si="11"/>
        <v>498</v>
      </c>
      <c r="B509" t="s">
        <v>574</v>
      </c>
    </row>
    <row r="510" spans="1:2">
      <c r="A510">
        <f t="shared" si="11"/>
        <v>499</v>
      </c>
      <c r="B510" t="s">
        <v>575</v>
      </c>
    </row>
    <row r="511" spans="1:2">
      <c r="A511">
        <f t="shared" si="11"/>
        <v>500</v>
      </c>
      <c r="B511" t="s">
        <v>350</v>
      </c>
    </row>
    <row r="512" spans="1:2">
      <c r="A512">
        <f t="shared" si="11"/>
        <v>501</v>
      </c>
      <c r="B512" t="s">
        <v>424</v>
      </c>
    </row>
    <row r="513" spans="1:2">
      <c r="A513">
        <f t="shared" si="11"/>
        <v>502</v>
      </c>
      <c r="B513" t="s">
        <v>576</v>
      </c>
    </row>
    <row r="514" spans="1:2">
      <c r="A514">
        <f t="shared" si="11"/>
        <v>503</v>
      </c>
      <c r="B514" t="s">
        <v>350</v>
      </c>
    </row>
    <row r="515" spans="1:2">
      <c r="A515">
        <f t="shared" si="11"/>
        <v>504</v>
      </c>
      <c r="B515" t="s">
        <v>250</v>
      </c>
    </row>
    <row r="516" spans="1:2">
      <c r="A516">
        <f t="shared" si="11"/>
        <v>505</v>
      </c>
      <c r="B516" t="s">
        <v>577</v>
      </c>
    </row>
    <row r="517" spans="1:2">
      <c r="A517">
        <f t="shared" si="11"/>
        <v>506</v>
      </c>
      <c r="B517" t="s">
        <v>578</v>
      </c>
    </row>
    <row r="518" spans="1:2">
      <c r="A518">
        <f t="shared" si="11"/>
        <v>507</v>
      </c>
      <c r="B518" t="s">
        <v>579</v>
      </c>
    </row>
    <row r="519" spans="1:2">
      <c r="A519">
        <f t="shared" si="11"/>
        <v>508</v>
      </c>
      <c r="B519" t="s">
        <v>580</v>
      </c>
    </row>
    <row r="520" spans="1:2">
      <c r="A520">
        <f t="shared" si="11"/>
        <v>509</v>
      </c>
      <c r="B520" t="s">
        <v>581</v>
      </c>
    </row>
    <row r="521" spans="1:2">
      <c r="A521">
        <f t="shared" si="11"/>
        <v>510</v>
      </c>
      <c r="B521" t="s">
        <v>582</v>
      </c>
    </row>
    <row r="522" spans="1:2">
      <c r="A522">
        <f t="shared" si="11"/>
        <v>511</v>
      </c>
      <c r="B522" t="s">
        <v>583</v>
      </c>
    </row>
    <row r="523" spans="1:2">
      <c r="A523">
        <f t="shared" si="11"/>
        <v>512</v>
      </c>
      <c r="B523" t="s">
        <v>584</v>
      </c>
    </row>
    <row r="524" spans="1:2">
      <c r="A524">
        <f t="shared" ref="A524:A575" si="12">ROW()-11</f>
        <v>513</v>
      </c>
      <c r="B524" t="s">
        <v>340</v>
      </c>
    </row>
    <row r="525" spans="1:2">
      <c r="A525">
        <f t="shared" si="12"/>
        <v>514</v>
      </c>
      <c r="B525" t="s">
        <v>295</v>
      </c>
    </row>
    <row r="526" spans="1:2">
      <c r="A526">
        <f t="shared" si="12"/>
        <v>515</v>
      </c>
      <c r="B526" t="s">
        <v>585</v>
      </c>
    </row>
    <row r="527" spans="1:2">
      <c r="A527">
        <f t="shared" si="12"/>
        <v>516</v>
      </c>
      <c r="B527" t="s">
        <v>586</v>
      </c>
    </row>
    <row r="528" spans="1:2">
      <c r="A528">
        <f t="shared" si="12"/>
        <v>517</v>
      </c>
      <c r="B528" t="s">
        <v>482</v>
      </c>
    </row>
    <row r="529" spans="1:2">
      <c r="A529">
        <f t="shared" si="12"/>
        <v>518</v>
      </c>
      <c r="B529" t="s">
        <v>266</v>
      </c>
    </row>
    <row r="530" spans="1:2">
      <c r="A530">
        <f t="shared" si="12"/>
        <v>519</v>
      </c>
      <c r="B530" t="s">
        <v>587</v>
      </c>
    </row>
    <row r="531" spans="1:2">
      <c r="A531">
        <f t="shared" si="12"/>
        <v>520</v>
      </c>
      <c r="B531" t="s">
        <v>588</v>
      </c>
    </row>
    <row r="532" spans="1:2">
      <c r="A532">
        <f t="shared" si="12"/>
        <v>521</v>
      </c>
      <c r="B532" t="s">
        <v>589</v>
      </c>
    </row>
    <row r="533" spans="1:2">
      <c r="A533">
        <f t="shared" si="12"/>
        <v>522</v>
      </c>
      <c r="B533" t="s">
        <v>590</v>
      </c>
    </row>
    <row r="534" spans="1:2">
      <c r="A534">
        <f t="shared" si="12"/>
        <v>523</v>
      </c>
      <c r="B534" t="s">
        <v>591</v>
      </c>
    </row>
    <row r="535" spans="1:2">
      <c r="A535">
        <f t="shared" si="12"/>
        <v>524</v>
      </c>
      <c r="B535" t="s">
        <v>592</v>
      </c>
    </row>
    <row r="536" spans="1:2">
      <c r="A536">
        <f t="shared" si="12"/>
        <v>525</v>
      </c>
      <c r="B536" t="s">
        <v>324</v>
      </c>
    </row>
    <row r="537" spans="1:2">
      <c r="A537">
        <f t="shared" si="12"/>
        <v>526</v>
      </c>
      <c r="B537" t="s">
        <v>593</v>
      </c>
    </row>
    <row r="538" spans="1:2">
      <c r="A538">
        <f t="shared" si="12"/>
        <v>527</v>
      </c>
      <c r="B538" t="s">
        <v>594</v>
      </c>
    </row>
    <row r="539" spans="1:2">
      <c r="A539">
        <f t="shared" si="12"/>
        <v>528</v>
      </c>
      <c r="B539" t="s">
        <v>595</v>
      </c>
    </row>
    <row r="540" spans="1:2">
      <c r="A540">
        <f t="shared" si="12"/>
        <v>529</v>
      </c>
      <c r="B540" t="s">
        <v>596</v>
      </c>
    </row>
    <row r="541" spans="1:2">
      <c r="A541">
        <f t="shared" si="12"/>
        <v>530</v>
      </c>
      <c r="B541" t="s">
        <v>597</v>
      </c>
    </row>
    <row r="542" spans="1:2">
      <c r="A542">
        <f t="shared" si="12"/>
        <v>531</v>
      </c>
      <c r="B542" t="s">
        <v>598</v>
      </c>
    </row>
    <row r="543" spans="1:2">
      <c r="A543">
        <f t="shared" si="12"/>
        <v>532</v>
      </c>
      <c r="B543" t="s">
        <v>599</v>
      </c>
    </row>
    <row r="544" spans="1:2">
      <c r="A544">
        <f t="shared" si="12"/>
        <v>533</v>
      </c>
      <c r="B544" t="s">
        <v>600</v>
      </c>
    </row>
    <row r="545" spans="1:2">
      <c r="A545">
        <f t="shared" si="12"/>
        <v>534</v>
      </c>
      <c r="B545" t="s">
        <v>601</v>
      </c>
    </row>
    <row r="546" spans="1:2">
      <c r="A546">
        <f t="shared" si="12"/>
        <v>535</v>
      </c>
      <c r="B546" t="s">
        <v>602</v>
      </c>
    </row>
    <row r="547" spans="1:2">
      <c r="A547">
        <f t="shared" si="12"/>
        <v>536</v>
      </c>
      <c r="B547" t="s">
        <v>603</v>
      </c>
    </row>
    <row r="548" spans="1:2">
      <c r="A548">
        <f t="shared" si="12"/>
        <v>537</v>
      </c>
      <c r="B548" t="s">
        <v>250</v>
      </c>
    </row>
    <row r="549" spans="1:2">
      <c r="A549">
        <f t="shared" si="12"/>
        <v>538</v>
      </c>
      <c r="B549" t="s">
        <v>557</v>
      </c>
    </row>
    <row r="550" spans="1:2">
      <c r="A550">
        <f t="shared" si="12"/>
        <v>539</v>
      </c>
      <c r="B550" t="s">
        <v>309</v>
      </c>
    </row>
    <row r="551" spans="1:2">
      <c r="A551">
        <f t="shared" si="12"/>
        <v>540</v>
      </c>
      <c r="B551" t="s">
        <v>557</v>
      </c>
    </row>
    <row r="552" spans="1:2">
      <c r="A552">
        <f t="shared" si="12"/>
        <v>541</v>
      </c>
      <c r="B552" t="s">
        <v>482</v>
      </c>
    </row>
    <row r="553" spans="1:2">
      <c r="A553">
        <f t="shared" si="12"/>
        <v>542</v>
      </c>
      <c r="B553" t="s">
        <v>588</v>
      </c>
    </row>
    <row r="554" spans="1:2">
      <c r="A554">
        <f t="shared" si="12"/>
        <v>543</v>
      </c>
      <c r="B554" t="s">
        <v>566</v>
      </c>
    </row>
    <row r="555" spans="1:2">
      <c r="A555">
        <f t="shared" si="12"/>
        <v>544</v>
      </c>
      <c r="B555" t="s">
        <v>588</v>
      </c>
    </row>
    <row r="556" spans="1:2">
      <c r="A556">
        <f t="shared" si="12"/>
        <v>545</v>
      </c>
      <c r="B556" t="s">
        <v>604</v>
      </c>
    </row>
    <row r="557" spans="1:2">
      <c r="A557">
        <f t="shared" si="12"/>
        <v>546</v>
      </c>
      <c r="B557" t="s">
        <v>605</v>
      </c>
    </row>
    <row r="558" spans="1:2">
      <c r="A558">
        <f t="shared" si="12"/>
        <v>547</v>
      </c>
      <c r="B558" t="s">
        <v>606</v>
      </c>
    </row>
    <row r="559" spans="1:2">
      <c r="A559">
        <f t="shared" si="12"/>
        <v>548</v>
      </c>
      <c r="B559" t="s">
        <v>607</v>
      </c>
    </row>
    <row r="560" spans="1:2">
      <c r="A560">
        <f t="shared" si="12"/>
        <v>549</v>
      </c>
      <c r="B560" t="s">
        <v>608</v>
      </c>
    </row>
    <row r="561" spans="1:2">
      <c r="A561">
        <f t="shared" si="12"/>
        <v>550</v>
      </c>
      <c r="B561" t="s">
        <v>609</v>
      </c>
    </row>
    <row r="562" spans="1:2">
      <c r="A562">
        <f t="shared" si="12"/>
        <v>551</v>
      </c>
      <c r="B562" t="s">
        <v>587</v>
      </c>
    </row>
    <row r="563" spans="1:2">
      <c r="A563">
        <f t="shared" si="12"/>
        <v>552</v>
      </c>
      <c r="B563" t="s">
        <v>362</v>
      </c>
    </row>
    <row r="564" spans="1:2">
      <c r="A564">
        <f t="shared" si="12"/>
        <v>553</v>
      </c>
      <c r="B564" t="s">
        <v>610</v>
      </c>
    </row>
    <row r="565" spans="1:2">
      <c r="A565">
        <f t="shared" si="12"/>
        <v>554</v>
      </c>
      <c r="B565" t="s">
        <v>611</v>
      </c>
    </row>
    <row r="566" spans="1:2">
      <c r="A566">
        <f t="shared" si="12"/>
        <v>555</v>
      </c>
      <c r="B566" t="s">
        <v>612</v>
      </c>
    </row>
    <row r="567" spans="1:2">
      <c r="A567">
        <f t="shared" si="12"/>
        <v>556</v>
      </c>
      <c r="B567" t="s">
        <v>613</v>
      </c>
    </row>
    <row r="568" spans="1:2">
      <c r="A568">
        <f t="shared" si="12"/>
        <v>557</v>
      </c>
      <c r="B568" t="s">
        <v>614</v>
      </c>
    </row>
    <row r="569" spans="1:2">
      <c r="A569">
        <f t="shared" si="12"/>
        <v>558</v>
      </c>
      <c r="B569" t="s">
        <v>615</v>
      </c>
    </row>
    <row r="570" spans="1:2">
      <c r="A570">
        <f t="shared" si="12"/>
        <v>559</v>
      </c>
      <c r="B570" t="s">
        <v>534</v>
      </c>
    </row>
    <row r="571" spans="1:2">
      <c r="A571">
        <f t="shared" si="12"/>
        <v>560</v>
      </c>
      <c r="B571" t="s">
        <v>616</v>
      </c>
    </row>
    <row r="572" spans="1:2">
      <c r="A572">
        <f t="shared" si="12"/>
        <v>561</v>
      </c>
      <c r="B572" t="s">
        <v>617</v>
      </c>
    </row>
    <row r="573" spans="1:2">
      <c r="A573">
        <f t="shared" si="12"/>
        <v>562</v>
      </c>
      <c r="B573" t="s">
        <v>618</v>
      </c>
    </row>
    <row r="574" spans="1:2">
      <c r="A574">
        <f t="shared" si="12"/>
        <v>563</v>
      </c>
      <c r="B574" t="s">
        <v>619</v>
      </c>
    </row>
    <row r="575" spans="1:2">
      <c r="A575">
        <f t="shared" si="12"/>
        <v>564</v>
      </c>
      <c r="B575" t="s">
        <v>620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首屏</vt:lpstr>
      <vt:lpstr>工作表条件查询演示</vt:lpstr>
      <vt:lpstr>工作表条件查询制作</vt:lpstr>
      <vt:lpstr>数据备用</vt:lpstr>
      <vt:lpstr>百家姓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2020-01-01T06:58:00Z</dcterms:created>
  <dcterms:modified xsi:type="dcterms:W3CDTF">2020-01-03T15:19:18Z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