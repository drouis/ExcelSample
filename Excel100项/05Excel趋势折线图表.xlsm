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theme/themeOverride1.xml" ContentType="application/vnd.openxmlformats-officedocument.themeOverrid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1"/>
  </bookViews>
  <sheets>
    <sheet name="首屏" sheetId="3" r:id="rId1"/>
    <sheet name="趋势折线图演示" sheetId="1" r:id="rId2"/>
    <sheet name="趋势折线图制作" sheetId="4" r:id="rId3"/>
    <sheet name="数据备用" sheetId="2" r:id="rId4"/>
  </sheets>
  <externalReferences>
    <externalReference r:id="rId5"/>
  </externalReferences>
  <definedNames>
    <definedName name="一级菜单A">[1]二级数据!$A$2:$A$3</definedName>
    <definedName name="一级菜单B">[1]二级数据!$B$2:$B$3</definedName>
    <definedName name="一级菜单C">[1]二级数据!$C$2:$C$3</definedName>
    <definedName name="二级菜单A1">[1]三级数据!$A$2:$A$4</definedName>
    <definedName name="二级菜单A2">[1]三级数据!$B$2:$B$4</definedName>
    <definedName name="二级菜单B1">[1]三级数据!$C$2:$C$4</definedName>
    <definedName name="二级菜单B2">[1]三级数据!$D$2:$D$4</definedName>
    <definedName name="二级菜单C1">[1]三级数据!$E$2:$E$4</definedName>
    <definedName name="二级菜单C2">[1]三级数据!$F$2:$F$4</definedName>
    <definedName name="二级菜单D1">[1]三级数据!$G$2:$G$4</definedName>
    <definedName name="二级菜单D2">[1]三级数据!$H$2:$H$4</definedName>
    <definedName name="一级菜单D">[1]二级数据!$D$2:$D$3</definedName>
    <definedName name="三级菜单A11">[1]四级数据!$B$1:$C$1</definedName>
    <definedName name="三级菜单A12">[1]四级数据!$B$2:$C$2</definedName>
    <definedName name="三级菜单A13">[1]四级数据!$B$3:$C$3</definedName>
    <definedName name="三级菜单A21">[1]四级数据!$B$4:$C$4</definedName>
    <definedName name="三级菜单A22">[1]四级数据!$B$5:$C$5</definedName>
    <definedName name="三级菜单A23">[1]四级数据!$B$6:$C$6</definedName>
    <definedName name="三级菜单B11">[1]四级数据!$B$7:$C$7</definedName>
    <definedName name="三级菜单B12">[1]四级数据!$B$8:$C$8</definedName>
    <definedName name="三级菜单B13">[1]四级数据!$B$9:$C$9</definedName>
    <definedName name="三级菜单B21">[1]四级数据!$B$10:$C$10</definedName>
    <definedName name="三级菜单B22">[1]四级数据!$B$11:$C$11</definedName>
    <definedName name="三级菜单B23">[1]四级数据!$B$12:$C$12</definedName>
    <definedName name="三级菜单C11">[1]四级数据!$B$13:$C$13</definedName>
    <definedName name="三级菜单C12">[1]四级数据!$B$14:$C$14</definedName>
    <definedName name="三级菜单C13">[1]四级数据!$B$15:$C$15</definedName>
    <definedName name="三级菜单C21">[1]四级数据!$B$16:$C$16</definedName>
    <definedName name="三级菜单C22">[1]四级数据!$B$17:$C$17</definedName>
    <definedName name="三级菜单C23">[1]四级数据!$B$18:$C$18</definedName>
    <definedName name="三级菜单D11">[1]四级数据!$B$19:$C$19</definedName>
    <definedName name="三级菜单D12">[1]四级数据!$B$20:$C$20</definedName>
    <definedName name="三级菜单D13">[1]四级数据!$B$21:$C$21</definedName>
    <definedName name="三级菜单D21">[1]四级数据!$B$22:$C$22</definedName>
    <definedName name="三级菜单D22">[1]四级数据!$B$23:$C$23</definedName>
    <definedName name="三级菜单D23">[1]四级数据!$B$24:$C$24</definedName>
  </definedNames>
  <calcPr calcId="144525"/>
</workbook>
</file>

<file path=xl/sharedStrings.xml><?xml version="1.0" encoding="utf-8"?>
<sst xmlns="http://schemas.openxmlformats.org/spreadsheetml/2006/main" count="44" uniqueCount="24">
  <si>
    <t>日期</t>
  </si>
  <si>
    <t>件数</t>
  </si>
  <si>
    <t>价格</t>
  </si>
  <si>
    <t>总价</t>
  </si>
  <si>
    <t>均值</t>
  </si>
  <si>
    <t>最小值</t>
  </si>
  <si>
    <t>最大值</t>
  </si>
  <si>
    <t>列表中第3个小值</t>
  </si>
  <si>
    <t>前10日</t>
  </si>
  <si>
    <t>中10日</t>
  </si>
  <si>
    <t>后10日</t>
  </si>
  <si>
    <t>总价值</t>
  </si>
  <si>
    <t>计算数据量</t>
  </si>
  <si>
    <t>辅助线</t>
  </si>
  <si>
    <t>高于平均值</t>
  </si>
  <si>
    <t>低于平均值</t>
  </si>
  <si>
    <t>前5名</t>
  </si>
  <si>
    <t>前10名</t>
  </si>
  <si>
    <t>后10名</t>
  </si>
  <si>
    <t>后5名</t>
  </si>
  <si>
    <t>数据总量占比</t>
  </si>
  <si>
    <t>FINISHED</t>
  </si>
  <si>
    <t>列表中前3个小值</t>
  </si>
  <si>
    <t>列表中前5个大值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</si>
</sst>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m&quot;月&quot;d&quot;日&quot;;@"/>
  </numFmts>
  <fonts count="22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38"/>
      <color rgb="FFFF0000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</fills>
  <borders count="23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6" fillId="8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8" borderId="20" applyNumberFormat="0" applyFont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7" fillId="0" borderId="18" applyNumberFormat="0" applyFill="0" applyAlignment="0" applyProtection="0">
      <alignment vertical="center"/>
    </xf>
    <xf numFmtId="0" fontId="10" fillId="0" borderId="18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8" fillId="0" borderId="19" applyNumberFormat="0" applyFill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4" fillId="7" borderId="16" applyNumberFormat="0" applyAlignment="0" applyProtection="0">
      <alignment vertical="center"/>
    </xf>
    <xf numFmtId="0" fontId="9" fillId="7" borderId="17" applyNumberFormat="0" applyAlignment="0" applyProtection="0">
      <alignment vertical="center"/>
    </xf>
    <xf numFmtId="0" fontId="20" fillId="25" borderId="22" applyNumberFormat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3" fillId="0" borderId="15" applyNumberFormat="0" applyFill="0" applyAlignment="0" applyProtection="0">
      <alignment vertical="center"/>
    </xf>
    <xf numFmtId="0" fontId="19" fillId="0" borderId="21" applyNumberFormat="0" applyFill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0" xfId="0" applyFill="1">
      <alignment vertical="center"/>
    </xf>
    <xf numFmtId="0" fontId="1" fillId="3" borderId="0" xfId="0" applyFont="1" applyFill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3" xfId="0" applyFill="1" applyBorder="1">
      <alignment vertical="center"/>
    </xf>
    <xf numFmtId="176" fontId="0" fillId="5" borderId="3" xfId="0" applyNumberFormat="1" applyFill="1" applyBorder="1">
      <alignment vertical="center"/>
    </xf>
    <xf numFmtId="0" fontId="0" fillId="2" borderId="3" xfId="0" applyFill="1" applyBorder="1">
      <alignment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6" borderId="3" xfId="0" applyFill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9" fontId="0" fillId="2" borderId="6" xfId="0" applyNumberFormat="1" applyFill="1" applyBorder="1">
      <alignment vertical="center"/>
    </xf>
    <xf numFmtId="9" fontId="0" fillId="2" borderId="7" xfId="0" applyNumberFormat="1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6" xfId="0" applyFill="1" applyBorder="1">
      <alignment vertical="center"/>
    </xf>
    <xf numFmtId="9" fontId="0" fillId="2" borderId="0" xfId="0" applyNumberFormat="1" applyFill="1">
      <alignment vertical="center"/>
    </xf>
    <xf numFmtId="0" fontId="0" fillId="2" borderId="8" xfId="0" applyFont="1" applyFill="1" applyBorder="1">
      <alignment vertical="center"/>
    </xf>
    <xf numFmtId="0" fontId="0" fillId="2" borderId="9" xfId="0" applyFont="1" applyFill="1" applyBorder="1">
      <alignment vertical="center"/>
    </xf>
    <xf numFmtId="0" fontId="0" fillId="2" borderId="10" xfId="0" applyFont="1" applyFill="1" applyBorder="1">
      <alignment vertical="center"/>
    </xf>
    <xf numFmtId="0" fontId="0" fillId="2" borderId="0" xfId="0" applyFont="1" applyFill="1">
      <alignment vertical="center"/>
    </xf>
    <xf numFmtId="0" fontId="0" fillId="2" borderId="11" xfId="0" applyFont="1" applyFill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Font="1" applyFill="1" applyBorder="1">
      <alignment vertical="center"/>
    </xf>
    <xf numFmtId="0" fontId="0" fillId="2" borderId="14" xfId="0" applyFont="1" applyFill="1" applyBorder="1">
      <alignment vertical="center"/>
    </xf>
    <xf numFmtId="0" fontId="0" fillId="2" borderId="6" xfId="0" applyFont="1" applyFill="1" applyBorder="1">
      <alignment vertical="center"/>
    </xf>
    <xf numFmtId="0" fontId="0" fillId="3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ColorStyle" Target="colors2.xml"/><Relationship Id="rId2" Type="http://schemas.microsoft.com/office/2011/relationships/chartStyle" Target="style2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K5</a:t>
            </a:r>
            <a:r>
              <a:rPr altLang="en-US" b="1"/>
              <a:t>日</a:t>
            </a:r>
            <a:r>
              <a:rPr b="1"/>
              <a:t>数据趋势图</a:t>
            </a:r>
            <a:endParaRPr b="1"/>
          </a:p>
        </c:rich>
      </c:tx>
      <c:layout>
        <c:manualLayout>
          <c:xMode val="edge"/>
          <c:yMode val="edge"/>
          <c:x val="0.0104045870377529"/>
          <c:y val="0.014975664545114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趋势折线图演示!$A$19</c:f>
              <c:strCache>
                <c:ptCount val="1"/>
                <c:pt idx="0">
                  <c:v>计算数据量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lgDash"/>
                <a:headEnd type="none"/>
                <a:tailEnd type="triangle"/>
              </a:ln>
              <a:effectLst/>
            </c:spPr>
            <c:name>K5平均</c:name>
            <c:trendlineType val="movingAvg"/>
            <c:period val="5"/>
            <c:dispRSqr val="0"/>
            <c:dispEq val="0"/>
          </c:trendline>
          <c:val>
            <c:numRef>
              <c:f>趋势折线图演示!$B$19:$AF$19</c:f>
              <c:numCache>
                <c:formatCode>General</c:formatCode>
                <c:ptCount val="31"/>
                <c:pt idx="0">
                  <c:v>8400</c:v>
                </c:pt>
                <c:pt idx="1">
                  <c:v>3900</c:v>
                </c:pt>
                <c:pt idx="2">
                  <c:v>16700</c:v>
                </c:pt>
                <c:pt idx="3">
                  <c:v>21400</c:v>
                </c:pt>
                <c:pt idx="4">
                  <c:v>14063</c:v>
                </c:pt>
                <c:pt idx="5">
                  <c:v>191</c:v>
                </c:pt>
                <c:pt idx="6">
                  <c:v>12324</c:v>
                </c:pt>
                <c:pt idx="7">
                  <c:v>14433</c:v>
                </c:pt>
                <c:pt idx="8">
                  <c:v>8228</c:v>
                </c:pt>
                <c:pt idx="9">
                  <c:v>35014</c:v>
                </c:pt>
                <c:pt idx="10">
                  <c:v>10235</c:v>
                </c:pt>
                <c:pt idx="11">
                  <c:v>29890</c:v>
                </c:pt>
                <c:pt idx="12">
                  <c:v>43844</c:v>
                </c:pt>
                <c:pt idx="13">
                  <c:v>2152</c:v>
                </c:pt>
                <c:pt idx="14">
                  <c:v>16238</c:v>
                </c:pt>
                <c:pt idx="15">
                  <c:v>20945</c:v>
                </c:pt>
                <c:pt idx="16">
                  <c:v>4693</c:v>
                </c:pt>
                <c:pt idx="17">
                  <c:v>3360</c:v>
                </c:pt>
                <c:pt idx="18">
                  <c:v>21672</c:v>
                </c:pt>
                <c:pt idx="19">
                  <c:v>21780</c:v>
                </c:pt>
                <c:pt idx="20">
                  <c:v>28236</c:v>
                </c:pt>
                <c:pt idx="21">
                  <c:v>21360</c:v>
                </c:pt>
                <c:pt idx="22">
                  <c:v>17435</c:v>
                </c:pt>
                <c:pt idx="23">
                  <c:v>13024</c:v>
                </c:pt>
                <c:pt idx="24">
                  <c:v>30014</c:v>
                </c:pt>
                <c:pt idx="25">
                  <c:v>5600</c:v>
                </c:pt>
                <c:pt idx="26">
                  <c:v>34686</c:v>
                </c:pt>
                <c:pt idx="27">
                  <c:v>12272</c:v>
                </c:pt>
                <c:pt idx="28">
                  <c:v>30121</c:v>
                </c:pt>
                <c:pt idx="29">
                  <c:v>14442</c:v>
                </c:pt>
                <c:pt idx="30">
                  <c:v>11655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趋势折线图演示!$A$20</c:f>
              <c:strCache>
                <c:ptCount val="1"/>
                <c:pt idx="0">
                  <c:v>辅助线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趋势折线图演示!$B$20:$AF$20</c:f>
              <c:numCache>
                <c:formatCode>General</c:formatCode>
                <c:ptCount val="31"/>
                <c:pt idx="0">
                  <c:v>17042</c:v>
                </c:pt>
                <c:pt idx="1">
                  <c:v>17042</c:v>
                </c:pt>
                <c:pt idx="2">
                  <c:v>17042</c:v>
                </c:pt>
                <c:pt idx="3">
                  <c:v>17042</c:v>
                </c:pt>
                <c:pt idx="4">
                  <c:v>17042</c:v>
                </c:pt>
                <c:pt idx="5">
                  <c:v>17042</c:v>
                </c:pt>
                <c:pt idx="6">
                  <c:v>17042</c:v>
                </c:pt>
                <c:pt idx="7">
                  <c:v>17042</c:v>
                </c:pt>
                <c:pt idx="8">
                  <c:v>17042</c:v>
                </c:pt>
                <c:pt idx="9">
                  <c:v>17042</c:v>
                </c:pt>
                <c:pt idx="10">
                  <c:v>17042</c:v>
                </c:pt>
                <c:pt idx="11">
                  <c:v>17042</c:v>
                </c:pt>
                <c:pt idx="12">
                  <c:v>17042</c:v>
                </c:pt>
                <c:pt idx="13">
                  <c:v>17042</c:v>
                </c:pt>
                <c:pt idx="14">
                  <c:v>17042</c:v>
                </c:pt>
                <c:pt idx="15">
                  <c:v>17042</c:v>
                </c:pt>
                <c:pt idx="16">
                  <c:v>17042</c:v>
                </c:pt>
                <c:pt idx="17">
                  <c:v>17042</c:v>
                </c:pt>
                <c:pt idx="18">
                  <c:v>17042</c:v>
                </c:pt>
                <c:pt idx="19">
                  <c:v>17042</c:v>
                </c:pt>
                <c:pt idx="20">
                  <c:v>17042</c:v>
                </c:pt>
                <c:pt idx="21">
                  <c:v>17042</c:v>
                </c:pt>
                <c:pt idx="22">
                  <c:v>17042</c:v>
                </c:pt>
                <c:pt idx="23">
                  <c:v>17042</c:v>
                </c:pt>
                <c:pt idx="24">
                  <c:v>17042</c:v>
                </c:pt>
                <c:pt idx="25">
                  <c:v>17042</c:v>
                </c:pt>
                <c:pt idx="26">
                  <c:v>17042</c:v>
                </c:pt>
                <c:pt idx="27">
                  <c:v>17042</c:v>
                </c:pt>
                <c:pt idx="28">
                  <c:v>17042</c:v>
                </c:pt>
                <c:pt idx="29">
                  <c:v>17042</c:v>
                </c:pt>
                <c:pt idx="30">
                  <c:v>17042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趋势折线图演示!$A$22</c:f>
              <c:strCache>
                <c:ptCount val="1"/>
                <c:pt idx="0">
                  <c:v>低于平均值</c:v>
                </c:pt>
              </c:strCache>
            </c:strRef>
          </c:tx>
          <c:spPr>
            <a:ln w="12700" cap="rnd" cmpd="sng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趋势折线图演示!$B$22:$AF$22</c:f>
              <c:numCache>
                <c:formatCode>General</c:formatCode>
                <c:ptCount val="31"/>
                <c:pt idx="0">
                  <c:v>8400</c:v>
                </c:pt>
                <c:pt idx="1">
                  <c:v>3900</c:v>
                </c:pt>
                <c:pt idx="2">
                  <c:v>16700</c:v>
                </c:pt>
                <c:pt idx="3">
                  <c:v>21400</c:v>
                </c:pt>
                <c:pt idx="4">
                  <c:v>14063</c:v>
                </c:pt>
                <c:pt idx="5">
                  <c:v>191</c:v>
                </c:pt>
                <c:pt idx="6">
                  <c:v>0</c:v>
                </c:pt>
                <c:pt idx="7">
                  <c:v>14433</c:v>
                </c:pt>
                <c:pt idx="8">
                  <c:v>8228</c:v>
                </c:pt>
                <c:pt idx="9">
                  <c:v>#N/A</c:v>
                </c:pt>
                <c:pt idx="10">
                  <c:v>10235</c:v>
                </c:pt>
                <c:pt idx="11">
                  <c:v>#N/A</c:v>
                </c:pt>
                <c:pt idx="12">
                  <c:v>#N/A</c:v>
                </c:pt>
                <c:pt idx="13">
                  <c:v>2152</c:v>
                </c:pt>
                <c:pt idx="14">
                  <c:v>16238</c:v>
                </c:pt>
                <c:pt idx="15">
                  <c:v>#N/A</c:v>
                </c:pt>
                <c:pt idx="16">
                  <c:v>4693</c:v>
                </c:pt>
                <c:pt idx="17">
                  <c:v>3360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13024</c:v>
                </c:pt>
                <c:pt idx="24">
                  <c:v>#N/A</c:v>
                </c:pt>
                <c:pt idx="25">
                  <c:v>5600</c:v>
                </c:pt>
                <c:pt idx="26">
                  <c:v>#N/A</c:v>
                </c:pt>
                <c:pt idx="27">
                  <c:v>12272</c:v>
                </c:pt>
                <c:pt idx="28">
                  <c:v>#N/A</c:v>
                </c:pt>
                <c:pt idx="29">
                  <c:v>14442</c:v>
                </c:pt>
                <c:pt idx="30">
                  <c:v>11655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559593"/>
        <c:axId val="8575965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趋势折线图演示!$A$21</c15:sqref>
                        </c15:formulaRef>
                      </c:ext>
                    </c:extLst>
                    <c:strCache>
                      <c:ptCount val="1"/>
                      <c:pt idx="0">
                        <c:v>高于平均值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0" vertOverflow="ellipsis" vert="horz" wrap="square" lIns="38100" tIns="19050" rIns="38100" bIns="19050" anchor="ctr" anchorCtr="1"/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layout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趋势折线图演示!$B$21:$AF$21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21400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35014</c:v>
                      </c:pt>
                      <c:pt idx="10">
                        <c:v>#N/A</c:v>
                      </c:pt>
                      <c:pt idx="11">
                        <c:v>29890</c:v>
                      </c:pt>
                      <c:pt idx="12">
                        <c:v>43844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20945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21672</c:v>
                      </c:pt>
                      <c:pt idx="19">
                        <c:v>21780</c:v>
                      </c:pt>
                      <c:pt idx="20">
                        <c:v>28236</c:v>
                      </c:pt>
                      <c:pt idx="21">
                        <c:v>21360</c:v>
                      </c:pt>
                      <c:pt idx="22">
                        <c:v>17435</c:v>
                      </c:pt>
                      <c:pt idx="23">
                        <c:v>#N/A</c:v>
                      </c:pt>
                      <c:pt idx="24">
                        <c:v>30014</c:v>
                      </c:pt>
                      <c:pt idx="25">
                        <c:v>#N/A</c:v>
                      </c:pt>
                      <c:pt idx="26">
                        <c:v>34686</c:v>
                      </c:pt>
                      <c:pt idx="27">
                        <c:v>#N/A</c:v>
                      </c:pt>
                      <c:pt idx="28">
                        <c:v>30121</c:v>
                      </c:pt>
                      <c:pt idx="29">
                        <c:v>#N/A</c:v>
                      </c:pt>
                      <c:pt idx="30">
                        <c:v>#N/A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755959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596500"/>
        <c:crosses val="autoZero"/>
        <c:auto val="1"/>
        <c:lblAlgn val="ctr"/>
        <c:lblOffset val="100"/>
        <c:noMultiLvlLbl val="0"/>
      </c:catAx>
      <c:valAx>
        <c:axId val="8575965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755959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 forceAA="0"/>
          <a:lstStyle/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r>
              <a:t>数据总量占比</a:t>
            </a:r>
          </a:p>
        </c:rich>
      </c:tx>
      <c:layout>
        <c:manualLayout>
          <c:xMode val="edge"/>
          <c:yMode val="edge"/>
          <c:x val="0.0463888888888889"/>
          <c:y val="0.086805555555555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9021298837057"/>
          <c:y val="0.135748200086425"/>
          <c:w val="0.454620056555296"/>
          <c:h val="0.768715707648626"/>
        </c:manualLayout>
      </c:layout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D3E4FC">
                  <a:alpha val="54000"/>
                </a:srgb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A6C4E8"/>
              </a:solidFill>
              <a:ln w="152400">
                <a:solidFill>
                  <a:srgbClr val="A6C4E8"/>
                </a:solidFill>
                <a:miter lim="800000"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趋势折线图演示!$B$24:$H$24</c15:sqref>
                  </c15:fullRef>
                </c:ext>
              </c:extLst>
              <c:f>(趋势折线图演示!$B$24,趋势折线图演示!$D$24,趋势折线图演示!$F$24,趋势折线图演示!$H$24)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趋势折线图演示!$B$25:$H$25</c15:sqref>
                  </c15:fullRef>
                </c:ext>
              </c:extLst>
              <c:f>(趋势折线图演示!$B$25,趋势折线图演示!$D$25,趋势折线图演示!$F$25,趋势折线图演示!$H$25)</c:f>
              <c:numCache>
                <c:formatCode>0%</c:formatCode>
                <c:ptCount val="4"/>
                <c:pt idx="0">
                  <c:v>0.328746353919217</c:v>
                </c:pt>
                <c:pt idx="1">
                  <c:v>0.561523886679525</c:v>
                </c:pt>
                <c:pt idx="2">
                  <c:v>0.110568286999794</c:v>
                </c:pt>
                <c:pt idx="3">
                  <c:v>0.0270600238119124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趋势折线图演示!$B$24:$H$24</c:f>
              <c:strCache>
                <c:ptCount val="1"/>
                <c:pt idx="0">
                  <c:v>前5名 #N/A 前10名 #N/A 后10名 #N/A 后5名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趋势折线图演示!$B$24:$H$24</c15:sqref>
                  </c15:fullRef>
                </c:ext>
              </c:extLst>
              <c:f>(趋势折线图演示!$B$24,趋势折线图演示!$D$24,趋势折线图演示!$F$24,趋势折线图演示!$H$24)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趋势折线图演示!$B$25:$H$25</c15:sqref>
                  </c15:fullRef>
                </c:ext>
              </c:extLst>
              <c:f>(趋势折线图演示!$B$25,趋势折线图演示!$D$25,趋势折线图演示!$F$25,趋势折线图演示!$H$25)</c:f>
              <c:numCache>
                <c:formatCode>0%</c:formatCode>
                <c:ptCount val="4"/>
                <c:pt idx="0">
                  <c:v>0.328746353919217</c:v>
                </c:pt>
                <c:pt idx="1">
                  <c:v>0.561523886679525</c:v>
                </c:pt>
                <c:pt idx="2">
                  <c:v>0.110568286999794</c:v>
                </c:pt>
                <c:pt idx="3">
                  <c:v>0.0270600238119124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8159841"/>
        <c:axId val="359303872"/>
      </c:barChart>
      <c:catAx>
        <c:axId val="25815984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59303872"/>
        <c:crosses val="autoZero"/>
        <c:auto val="1"/>
        <c:lblAlgn val="ctr"/>
        <c:lblOffset val="100"/>
        <c:noMultiLvlLbl val="0"/>
      </c:catAx>
      <c:valAx>
        <c:axId val="3593038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815984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0215266464975564"/>
          <c:y val="0.03345724907063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t" anchorCtr="0"/>
        <a:lstStyle/>
        <a:p>
          <a:pPr>
            <a:defRPr lang="zh-CN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趋势折线图制作!$A$25</c:f>
              <c:strCache>
                <c:ptCount val="1"/>
                <c:pt idx="0">
                  <c:v>数据总量占比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趋势折线图制作!$B$24:$H$24</c15:sqref>
                  </c15:fullRef>
                </c:ext>
              </c:extLst>
              <c:f>(趋势折线图制作!$B$24,趋势折线图制作!$D$24,趋势折线图制作!$F$24,趋势折线图制作!$H$24)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趋势折线图制作!$B$25:$H$25</c15:sqref>
                  </c15:fullRef>
                </c:ext>
              </c:extLst>
              <c:f>(趋势折线图制作!$B$25,趋势折线图制作!$D$25,趋势折线图制作!$F$25,趋势折线图制作!$H$25)</c:f>
              <c:numCache>
                <c:formatCode>0%</c:formatCode>
                <c:ptCount val="4"/>
                <c:pt idx="0">
                  <c:v>0.38021791600335</c:v>
                </c:pt>
                <c:pt idx="1">
                  <c:v>0.651530954661926</c:v>
                </c:pt>
                <c:pt idx="2">
                  <c:v>0.0721676320538043</c:v>
                </c:pt>
                <c:pt idx="3">
                  <c:v>0.0159691737218729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0193055555555556"/>
          <c:y val="0.03125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趋势折线图制作!$A$25</c:f>
              <c:strCache>
                <c:ptCount val="1"/>
                <c:pt idx="0">
                  <c:v>数据总量占比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趋势折线图制作!$B$24:$H$24</c15:sqref>
                  </c15:fullRef>
                </c:ext>
              </c:extLst>
              <c:f>(趋势折线图制作!$B$24,趋势折线图制作!$D$24,趋势折线图制作!$F$24,趋势折线图制作!$H$24)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趋势折线图制作!$B$25:$H$25</c15:sqref>
                  </c15:fullRef>
                </c:ext>
              </c:extLst>
              <c:f>(趋势折线图制作!$B$25,趋势折线图制作!$D$25,趋势折线图制作!$F$25,趋势折线图制作!$H$25)</c:f>
              <c:numCache>
                <c:formatCode>0%</c:formatCode>
                <c:ptCount val="4"/>
                <c:pt idx="0">
                  <c:v>0.38021791600335</c:v>
                </c:pt>
                <c:pt idx="1">
                  <c:v>0.651530954661926</c:v>
                </c:pt>
                <c:pt idx="2">
                  <c:v>0.0721676320538043</c:v>
                </c:pt>
                <c:pt idx="3">
                  <c:v>0.0159691737218729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1991813"/>
        <c:axId val="21031083"/>
      </c:barChart>
      <c:catAx>
        <c:axId val="7919918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031083"/>
        <c:crosses val="autoZero"/>
        <c:auto val="1"/>
        <c:lblAlgn val="ctr"/>
        <c:lblOffset val="100"/>
        <c:noMultiLvlLbl val="0"/>
      </c:catAx>
      <c:valAx>
        <c:axId val="210310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199181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="1"/>
              <a:t>k5日数据平均线</a:t>
            </a:r>
            <a:endParaRPr b="1"/>
          </a:p>
        </c:rich>
      </c:tx>
      <c:layout>
        <c:manualLayout>
          <c:xMode val="edge"/>
          <c:yMode val="edge"/>
          <c:x val="0.00421133231240429"/>
          <c:y val="0.011235955056179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趋势折线图制作!$A$19</c:f>
              <c:strCache>
                <c:ptCount val="1"/>
                <c:pt idx="0">
                  <c:v>计算数据量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trendline>
            <c:spPr>
              <a:ln w="12700" cap="rnd" cmpd="sng">
                <a:solidFill>
                  <a:srgbClr val="FF0000"/>
                </a:solidFill>
                <a:prstDash val="dash"/>
                <a:tailEnd type="triangle"/>
              </a:ln>
              <a:effectLst/>
            </c:spPr>
            <c:name>k5日数据平均线</c:name>
            <c:trendlineType val="movingAvg"/>
            <c:period val="5"/>
            <c:dispRSqr val="0"/>
            <c:dispEq val="0"/>
          </c:trendline>
          <c:val>
            <c:numRef>
              <c:f>趋势折线图制作!$B$19:$AF$19</c:f>
              <c:numCache>
                <c:formatCode>General</c:formatCode>
                <c:ptCount val="31"/>
                <c:pt idx="0">
                  <c:v>8080</c:v>
                </c:pt>
                <c:pt idx="1">
                  <c:v>1515</c:v>
                </c:pt>
                <c:pt idx="2">
                  <c:v>18920</c:v>
                </c:pt>
                <c:pt idx="3">
                  <c:v>32256</c:v>
                </c:pt>
                <c:pt idx="4">
                  <c:v>22411</c:v>
                </c:pt>
                <c:pt idx="5">
                  <c:v>29670</c:v>
                </c:pt>
                <c:pt idx="6">
                  <c:v>28864</c:v>
                </c:pt>
                <c:pt idx="7">
                  <c:v>7872</c:v>
                </c:pt>
                <c:pt idx="8">
                  <c:v>4704</c:v>
                </c:pt>
                <c:pt idx="9">
                  <c:v>44884</c:v>
                </c:pt>
                <c:pt idx="10">
                  <c:v>31320</c:v>
                </c:pt>
                <c:pt idx="11">
                  <c:v>38893</c:v>
                </c:pt>
                <c:pt idx="12">
                  <c:v>684</c:v>
                </c:pt>
                <c:pt idx="13">
                  <c:v>10808</c:v>
                </c:pt>
                <c:pt idx="14">
                  <c:v>44175</c:v>
                </c:pt>
                <c:pt idx="15">
                  <c:v>12410</c:v>
                </c:pt>
                <c:pt idx="16">
                  <c:v>43522</c:v>
                </c:pt>
                <c:pt idx="17">
                  <c:v>7888</c:v>
                </c:pt>
                <c:pt idx="18">
                  <c:v>3108</c:v>
                </c:pt>
                <c:pt idx="19">
                  <c:v>2961</c:v>
                </c:pt>
                <c:pt idx="20">
                  <c:v>10836</c:v>
                </c:pt>
                <c:pt idx="21">
                  <c:v>43240</c:v>
                </c:pt>
                <c:pt idx="22">
                  <c:v>23002</c:v>
                </c:pt>
                <c:pt idx="23">
                  <c:v>12956</c:v>
                </c:pt>
                <c:pt idx="24">
                  <c:v>9768</c:v>
                </c:pt>
                <c:pt idx="25">
                  <c:v>10050</c:v>
                </c:pt>
                <c:pt idx="26">
                  <c:v>31104</c:v>
                </c:pt>
                <c:pt idx="27">
                  <c:v>10710</c:v>
                </c:pt>
                <c:pt idx="28">
                  <c:v>3192</c:v>
                </c:pt>
                <c:pt idx="29">
                  <c:v>14160</c:v>
                </c:pt>
                <c:pt idx="30">
                  <c:v>750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趋势折线图制作!$A$20</c:f>
              <c:strCache>
                <c:ptCount val="1"/>
                <c:pt idx="0">
                  <c:v>辅助线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趋势折线图制作!$B$20:$AF$20</c:f>
              <c:numCache>
                <c:formatCode>General</c:formatCode>
                <c:ptCount val="31"/>
                <c:pt idx="0">
                  <c:v>18216</c:v>
                </c:pt>
                <c:pt idx="1">
                  <c:v>18216</c:v>
                </c:pt>
                <c:pt idx="2">
                  <c:v>18216</c:v>
                </c:pt>
                <c:pt idx="3">
                  <c:v>18216</c:v>
                </c:pt>
                <c:pt idx="4">
                  <c:v>18216</c:v>
                </c:pt>
                <c:pt idx="5">
                  <c:v>18216</c:v>
                </c:pt>
                <c:pt idx="6">
                  <c:v>18216</c:v>
                </c:pt>
                <c:pt idx="7">
                  <c:v>18216</c:v>
                </c:pt>
                <c:pt idx="8">
                  <c:v>18216</c:v>
                </c:pt>
                <c:pt idx="9">
                  <c:v>18216</c:v>
                </c:pt>
                <c:pt idx="10">
                  <c:v>18216</c:v>
                </c:pt>
                <c:pt idx="11">
                  <c:v>18216</c:v>
                </c:pt>
                <c:pt idx="12">
                  <c:v>18216</c:v>
                </c:pt>
                <c:pt idx="13">
                  <c:v>18216</c:v>
                </c:pt>
                <c:pt idx="14">
                  <c:v>18216</c:v>
                </c:pt>
                <c:pt idx="15">
                  <c:v>18216</c:v>
                </c:pt>
                <c:pt idx="16">
                  <c:v>18216</c:v>
                </c:pt>
                <c:pt idx="17">
                  <c:v>18216</c:v>
                </c:pt>
                <c:pt idx="18">
                  <c:v>18216</c:v>
                </c:pt>
                <c:pt idx="19">
                  <c:v>18216</c:v>
                </c:pt>
                <c:pt idx="20">
                  <c:v>18216</c:v>
                </c:pt>
                <c:pt idx="21">
                  <c:v>18216</c:v>
                </c:pt>
                <c:pt idx="22">
                  <c:v>18216</c:v>
                </c:pt>
                <c:pt idx="23">
                  <c:v>18216</c:v>
                </c:pt>
                <c:pt idx="24">
                  <c:v>18216</c:v>
                </c:pt>
                <c:pt idx="25">
                  <c:v>18216</c:v>
                </c:pt>
                <c:pt idx="26">
                  <c:v>18216</c:v>
                </c:pt>
                <c:pt idx="27">
                  <c:v>18216</c:v>
                </c:pt>
                <c:pt idx="28">
                  <c:v>18216</c:v>
                </c:pt>
                <c:pt idx="29">
                  <c:v>18216</c:v>
                </c:pt>
                <c:pt idx="30">
                  <c:v>18216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趋势折线图制作!$A$21</c:f>
              <c:strCache>
                <c:ptCount val="1"/>
                <c:pt idx="0">
                  <c:v>高于平均值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趋势折线图制作!$B$21:$AF$21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18920</c:v>
                </c:pt>
                <c:pt idx="3">
                  <c:v>32256</c:v>
                </c:pt>
                <c:pt idx="4">
                  <c:v>22411</c:v>
                </c:pt>
                <c:pt idx="5">
                  <c:v>29670</c:v>
                </c:pt>
                <c:pt idx="6">
                  <c:v>28864</c:v>
                </c:pt>
                <c:pt idx="7">
                  <c:v>#N/A</c:v>
                </c:pt>
                <c:pt idx="8">
                  <c:v>#N/A</c:v>
                </c:pt>
                <c:pt idx="9">
                  <c:v>44884</c:v>
                </c:pt>
                <c:pt idx="10">
                  <c:v>31320</c:v>
                </c:pt>
                <c:pt idx="11">
                  <c:v>38893</c:v>
                </c:pt>
                <c:pt idx="12">
                  <c:v>#N/A</c:v>
                </c:pt>
                <c:pt idx="13">
                  <c:v>#N/A</c:v>
                </c:pt>
                <c:pt idx="14">
                  <c:v>44175</c:v>
                </c:pt>
                <c:pt idx="15">
                  <c:v>#N/A</c:v>
                </c:pt>
                <c:pt idx="16">
                  <c:v>43522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43240</c:v>
                </c:pt>
                <c:pt idx="22">
                  <c:v>23002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31104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趋势折线图制作!$A$22</c:f>
              <c:strCache>
                <c:ptCount val="1"/>
                <c:pt idx="0">
                  <c:v>低于平均值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趋势折线图制作!$B$22:$AF$22</c:f>
              <c:numCache>
                <c:formatCode>General</c:formatCode>
                <c:ptCount val="31"/>
                <c:pt idx="0">
                  <c:v>8080</c:v>
                </c:pt>
                <c:pt idx="1">
                  <c:v>1515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7872</c:v>
                </c:pt>
                <c:pt idx="8">
                  <c:v>4704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684</c:v>
                </c:pt>
                <c:pt idx="13">
                  <c:v>10808</c:v>
                </c:pt>
                <c:pt idx="14">
                  <c:v>#N/A</c:v>
                </c:pt>
                <c:pt idx="15">
                  <c:v>12410</c:v>
                </c:pt>
                <c:pt idx="16">
                  <c:v>#N/A</c:v>
                </c:pt>
                <c:pt idx="17">
                  <c:v>7888</c:v>
                </c:pt>
                <c:pt idx="18">
                  <c:v>3108</c:v>
                </c:pt>
                <c:pt idx="19">
                  <c:v>2961</c:v>
                </c:pt>
                <c:pt idx="20">
                  <c:v>10836</c:v>
                </c:pt>
                <c:pt idx="21">
                  <c:v>#N/A</c:v>
                </c:pt>
                <c:pt idx="22">
                  <c:v>#N/A</c:v>
                </c:pt>
                <c:pt idx="23">
                  <c:v>12956</c:v>
                </c:pt>
                <c:pt idx="24">
                  <c:v>9768</c:v>
                </c:pt>
                <c:pt idx="25">
                  <c:v>10050</c:v>
                </c:pt>
                <c:pt idx="26">
                  <c:v>#N/A</c:v>
                </c:pt>
                <c:pt idx="27">
                  <c:v>10710</c:v>
                </c:pt>
                <c:pt idx="28">
                  <c:v>3192</c:v>
                </c:pt>
                <c:pt idx="29">
                  <c:v>14160</c:v>
                </c:pt>
                <c:pt idx="30">
                  <c:v>750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6608587"/>
        <c:axId val="195072475"/>
      </c:lineChart>
      <c:catAx>
        <c:axId val="696608587"/>
        <c:scaling>
          <c:orientation val="minMax"/>
        </c:scaling>
        <c:delete val="1"/>
        <c:axPos val="b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5072475"/>
        <c:crosses val="autoZero"/>
        <c:auto val="1"/>
        <c:lblAlgn val="ctr"/>
        <c:lblOffset val="100"/>
        <c:noMultiLvlLbl val="0"/>
      </c:catAx>
      <c:valAx>
        <c:axId val="1950724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66085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27</xdr:col>
      <xdr:colOff>41275</xdr:colOff>
      <xdr:row>26</xdr:row>
      <xdr:rowOff>53975</xdr:rowOff>
    </xdr:from>
    <xdr:ext cx="5881370" cy="2557145"/>
    <xdr:sp>
      <xdr:nvSpPr>
        <xdr:cNvPr id="2" name="矩形 1"/>
        <xdr:cNvSpPr/>
      </xdr:nvSpPr>
      <xdr:spPr>
        <a:xfrm>
          <a:off x="5798820" y="4073525"/>
          <a:ext cx="5881370" cy="2557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  <a:scene3d>
            <a:camera prst="orthographicFront"/>
            <a:lightRig rig="threePt" dir="t"/>
          </a:scene3d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WPS Office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2019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twoCellAnchor>
    <xdr:from>
      <xdr:col>17</xdr:col>
      <xdr:colOff>60325</xdr:colOff>
      <xdr:row>26</xdr:row>
      <xdr:rowOff>144145</xdr:rowOff>
    </xdr:from>
    <xdr:to>
      <xdr:col>27</xdr:col>
      <xdr:colOff>5715</xdr:colOff>
      <xdr:row>41</xdr:row>
      <xdr:rowOff>87630</xdr:rowOff>
    </xdr:to>
    <xdr:grpSp>
      <xdr:nvGrpSpPr>
        <xdr:cNvPr id="3" name="组合 2"/>
        <xdr:cNvGrpSpPr/>
      </xdr:nvGrpSpPr>
      <xdr:grpSpPr>
        <a:xfrm rot="20280000">
          <a:off x="3627120" y="4163695"/>
          <a:ext cx="2136140" cy="2515235"/>
          <a:chOff x="3268" y="5624"/>
          <a:chExt cx="4035" cy="3960"/>
        </a:xfrm>
      </xdr:grpSpPr>
      <xdr:pic>
        <xdr:nvPicPr>
          <xdr:cNvPr id="4" name="图片 3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820000">
            <a:off x="3268" y="5624"/>
            <a:ext cx="3050" cy="3050"/>
          </a:xfrm>
          <a:prstGeom prst="rect">
            <a:avLst/>
          </a:prstGeom>
          <a:effectLst>
            <a:outerShdw blurRad="63500" dist="190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5" name="图片 4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540000">
            <a:off x="3768" y="5884"/>
            <a:ext cx="3050" cy="3050"/>
          </a:xfrm>
          <a:prstGeom prst="rect">
            <a:avLst/>
          </a:prstGeom>
          <a:ln w="12700" cmpd="sng">
            <a:solidFill>
              <a:schemeClr val="bg1"/>
            </a:solidFill>
            <a:prstDash val="sysDot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6" name="图片 5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40000">
            <a:off x="4253" y="6534"/>
            <a:ext cx="3050" cy="3050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31750"/>
          </a:effectLst>
        </xdr:spPr>
      </xdr:pic>
    </xdr:grpSp>
    <xdr:clientData/>
  </xdr:twoCellAnchor>
  <xdr:twoCellAnchor editAs="oneCell">
    <xdr:from>
      <xdr:col>1</xdr:col>
      <xdr:colOff>47625</xdr:colOff>
      <xdr:row>1</xdr:row>
      <xdr:rowOff>26035</xdr:rowOff>
    </xdr:from>
    <xdr:to>
      <xdr:col>19</xdr:col>
      <xdr:colOff>147955</xdr:colOff>
      <xdr:row>26</xdr:row>
      <xdr:rowOff>64135</xdr:rowOff>
    </xdr:to>
    <xdr:pic>
      <xdr:nvPicPr>
        <xdr:cNvPr id="7" name="图片 6" descr="Excel_1024px_1185986_easyicon.net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66700" y="197485"/>
          <a:ext cx="3886200" cy="3886200"/>
        </a:xfrm>
        <a:prstGeom prst="rect">
          <a:avLst/>
        </a:prstGeom>
      </xdr:spPr>
    </xdr:pic>
    <xdr:clientData/>
  </xdr:twoCellAnchor>
  <xdr:oneCellAnchor>
    <xdr:from>
      <xdr:col>25</xdr:col>
      <xdr:colOff>193040</xdr:colOff>
      <xdr:row>26</xdr:row>
      <xdr:rowOff>57150</xdr:rowOff>
    </xdr:from>
    <xdr:ext cx="6476365" cy="2658745"/>
    <xdr:sp>
      <xdr:nvSpPr>
        <xdr:cNvPr id="8" name="矩形 7"/>
        <xdr:cNvSpPr/>
      </xdr:nvSpPr>
      <xdr:spPr>
        <a:xfrm>
          <a:off x="5512435" y="4076700"/>
          <a:ext cx="6476365" cy="2658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WPS Office</a:t>
          </a:r>
          <a:endParaRPr lang="en-US" altLang="zh-CN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2019</a:t>
          </a:r>
          <a:endParaRPr lang="zh-CN" altLang="en-US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oneCellAnchor>
    <xdr:from>
      <xdr:col>17</xdr:col>
      <xdr:colOff>107950</xdr:colOff>
      <xdr:row>8</xdr:row>
      <xdr:rowOff>146685</xdr:rowOff>
    </xdr:from>
    <xdr:ext cx="8617585" cy="1141095"/>
    <xdr:sp>
      <xdr:nvSpPr>
        <xdr:cNvPr id="9" name="矩形 8"/>
        <xdr:cNvSpPr/>
      </xdr:nvSpPr>
      <xdr:spPr>
        <a:xfrm>
          <a:off x="3674745" y="1384935"/>
          <a:ext cx="8617585" cy="1141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5分钟 Excel 使用技巧</a:t>
          </a:r>
          <a:endParaRPr lang="zh-CN" altLang="en-US" sz="6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oneCellAnchor>
    <xdr:from>
      <xdr:col>43</xdr:col>
      <xdr:colOff>187325</xdr:colOff>
      <xdr:row>43</xdr:row>
      <xdr:rowOff>97155</xdr:rowOff>
    </xdr:from>
    <xdr:ext cx="3654425" cy="989330"/>
    <xdr:sp>
      <xdr:nvSpPr>
        <xdr:cNvPr id="10" name="矩形 9"/>
        <xdr:cNvSpPr/>
      </xdr:nvSpPr>
      <xdr:spPr>
        <a:xfrm>
          <a:off x="9450070" y="7031355"/>
          <a:ext cx="3654425" cy="989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本视频仅用作Excel宏使用示范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视频使用Excel源文件，请邮件致：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Email：2791302846@qq.com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10795</xdr:colOff>
      <xdr:row>26</xdr:row>
      <xdr:rowOff>13970</xdr:rowOff>
    </xdr:from>
    <xdr:to>
      <xdr:col>17</xdr:col>
      <xdr:colOff>603250</xdr:colOff>
      <xdr:row>55</xdr:row>
      <xdr:rowOff>160020</xdr:rowOff>
    </xdr:to>
    <xdr:graphicFrame>
      <xdr:nvGraphicFramePr>
        <xdr:cNvPr id="3" name="图表 2"/>
        <xdr:cNvGraphicFramePr/>
      </xdr:nvGraphicFramePr>
      <xdr:xfrm>
        <a:off x="991870" y="4509770"/>
        <a:ext cx="9907905" cy="51181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20320</xdr:colOff>
      <xdr:row>26</xdr:row>
      <xdr:rowOff>10795</xdr:rowOff>
    </xdr:from>
    <xdr:to>
      <xdr:col>25</xdr:col>
      <xdr:colOff>589280</xdr:colOff>
      <xdr:row>40</xdr:row>
      <xdr:rowOff>160020</xdr:rowOff>
    </xdr:to>
    <xdr:graphicFrame>
      <xdr:nvGraphicFramePr>
        <xdr:cNvPr id="10" name="图表 9"/>
        <xdr:cNvGraphicFramePr/>
      </xdr:nvGraphicFramePr>
      <xdr:xfrm>
        <a:off x="10935970" y="4506595"/>
        <a:ext cx="4902835" cy="2549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635</xdr:colOff>
      <xdr:row>0</xdr:row>
      <xdr:rowOff>133985</xdr:rowOff>
    </xdr:from>
    <xdr:ext cx="6572885" cy="1033780"/>
    <xdr:sp>
      <xdr:nvSpPr>
        <xdr:cNvPr id="11" name="矩形 10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7</xdr:row>
          <xdr:rowOff>36195</xdr:rowOff>
        </xdr:from>
        <xdr:to>
          <xdr:col>2</xdr:col>
          <xdr:colOff>153035</xdr:colOff>
          <xdr:row>8</xdr:row>
          <xdr:rowOff>160655</xdr:rowOff>
        </xdr:to>
        <xdr:sp>
          <xdr:nvSpPr>
            <xdr:cNvPr id="1025" name="Toggle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5725" y="1245870"/>
              <a:ext cx="1591310" cy="30543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18</xdr:col>
      <xdr:colOff>19050</xdr:colOff>
      <xdr:row>41</xdr:row>
      <xdr:rowOff>10795</xdr:rowOff>
    </xdr:from>
    <xdr:to>
      <xdr:col>25</xdr:col>
      <xdr:colOff>584835</xdr:colOff>
      <xdr:row>55</xdr:row>
      <xdr:rowOff>147955</xdr:rowOff>
    </xdr:to>
    <xdr:graphicFrame>
      <xdr:nvGraphicFramePr>
        <xdr:cNvPr id="12" name="图表 11"/>
        <xdr:cNvGraphicFramePr/>
      </xdr:nvGraphicFramePr>
      <xdr:xfrm>
        <a:off x="10934700" y="7078345"/>
        <a:ext cx="4899660" cy="25374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635</xdr:colOff>
      <xdr:row>0</xdr:row>
      <xdr:rowOff>133985</xdr:rowOff>
    </xdr:from>
    <xdr:ext cx="6572885" cy="1033780"/>
    <xdr:sp>
      <xdr:nvSpPr>
        <xdr:cNvPr id="2" name="矩形 1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xdr:twoCellAnchor>
    <xdr:from>
      <xdr:col>18</xdr:col>
      <xdr:colOff>35560</xdr:colOff>
      <xdr:row>26</xdr:row>
      <xdr:rowOff>10795</xdr:rowOff>
    </xdr:from>
    <xdr:to>
      <xdr:col>25</xdr:col>
      <xdr:colOff>662940</xdr:colOff>
      <xdr:row>40</xdr:row>
      <xdr:rowOff>161925</xdr:rowOff>
    </xdr:to>
    <xdr:graphicFrame>
      <xdr:nvGraphicFramePr>
        <xdr:cNvPr id="3" name="图表 2"/>
        <xdr:cNvGraphicFramePr/>
      </xdr:nvGraphicFramePr>
      <xdr:xfrm>
        <a:off x="12675235" y="4954270"/>
        <a:ext cx="5427980" cy="255143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19050</xdr:colOff>
      <xdr:row>41</xdr:row>
      <xdr:rowOff>12700</xdr:rowOff>
    </xdr:from>
    <xdr:to>
      <xdr:col>25</xdr:col>
      <xdr:colOff>675640</xdr:colOff>
      <xdr:row>55</xdr:row>
      <xdr:rowOff>133350</xdr:rowOff>
    </xdr:to>
    <xdr:graphicFrame>
      <xdr:nvGraphicFramePr>
        <xdr:cNvPr id="5" name="图表 4"/>
        <xdr:cNvGraphicFramePr/>
      </xdr:nvGraphicFramePr>
      <xdr:xfrm>
        <a:off x="12658725" y="7527925"/>
        <a:ext cx="5457190" cy="25209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31750</xdr:colOff>
      <xdr:row>26</xdr:row>
      <xdr:rowOff>23495</xdr:rowOff>
    </xdr:from>
    <xdr:to>
      <xdr:col>17</xdr:col>
      <xdr:colOff>668020</xdr:colOff>
      <xdr:row>55</xdr:row>
      <xdr:rowOff>148590</xdr:rowOff>
    </xdr:to>
    <xdr:graphicFrame>
      <xdr:nvGraphicFramePr>
        <xdr:cNvPr id="6" name="图表 5"/>
        <xdr:cNvGraphicFramePr/>
      </xdr:nvGraphicFramePr>
      <xdr:xfrm>
        <a:off x="1012825" y="4966970"/>
        <a:ext cx="11609070" cy="50971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&#19977;&#32423;&#32852;&#2116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联动演示"/>
      <sheetName val="一级数据"/>
      <sheetName val="二级数据"/>
      <sheetName val="三级数据"/>
      <sheetName val="四级数据"/>
      <sheetName val="联动制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BK52"/>
  <sheetViews>
    <sheetView zoomScale="85" zoomScaleNormal="85" workbookViewId="0">
      <selection activeCell="A1" sqref="A1"/>
    </sheetView>
  </sheetViews>
  <sheetFormatPr defaultColWidth="2.875" defaultRowHeight="13.5"/>
  <cols>
    <col min="1" max="1" width="2.875" style="6" customWidth="1"/>
    <col min="2" max="2" width="0.808333333333333" style="6" customWidth="1"/>
    <col min="3" max="62" width="2.875" style="6" customWidth="1"/>
    <col min="63" max="63" width="0.808333333333333" style="6" customWidth="1"/>
    <col min="64" max="16367" width="2.875" style="6" customWidth="1"/>
    <col min="16368" max="16384" width="2.875" style="6"/>
  </cols>
  <sheetData>
    <row r="2" s="6" customFormat="1" ht="3" customHeight="1" spans="2:63"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2:63">
      <c r="B3" s="39"/>
      <c r="BK3" s="39"/>
    </row>
    <row r="4" spans="2:63">
      <c r="B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K4" s="39"/>
    </row>
    <row r="5" spans="2:63">
      <c r="B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K5" s="39"/>
    </row>
    <row r="6" spans="2:63">
      <c r="B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K6" s="39"/>
    </row>
    <row r="7" spans="2:63">
      <c r="B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K7" s="39"/>
    </row>
    <row r="8" spans="2:63">
      <c r="B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K8" s="39"/>
    </row>
    <row r="9" spans="2:63">
      <c r="B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K9" s="39"/>
    </row>
    <row r="10" spans="2:6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K10" s="39"/>
    </row>
    <row r="11" spans="2:63">
      <c r="B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K11" s="39"/>
    </row>
    <row r="12" spans="2:63">
      <c r="B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K12" s="39"/>
    </row>
    <row r="13" spans="2:63">
      <c r="B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K13" s="39"/>
    </row>
    <row r="14" ht="1.5" customHeight="1" spans="2:63">
      <c r="B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K14" s="39"/>
    </row>
    <row r="15" customHeight="1" spans="2:63">
      <c r="B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K15" s="39"/>
    </row>
    <row r="16" customHeight="1" spans="2:63">
      <c r="B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K16" s="39"/>
    </row>
    <row r="17" ht="1.5" customHeight="1" spans="2:63">
      <c r="B17" s="39"/>
      <c r="D17" s="39"/>
      <c r="E17" s="39"/>
      <c r="F17" s="39"/>
      <c r="G17" s="39"/>
      <c r="H17" s="39"/>
      <c r="I17" s="39"/>
      <c r="J17" s="39"/>
      <c r="K17" s="39"/>
      <c r="BG17" s="39"/>
      <c r="BH17" s="39"/>
      <c r="BI17" s="39"/>
      <c r="BK17" s="39"/>
    </row>
    <row r="18" spans="2:63">
      <c r="B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K18" s="39"/>
    </row>
    <row r="19" spans="2:63">
      <c r="B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K19" s="39"/>
    </row>
    <row r="20" spans="2:63">
      <c r="B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K20" s="39"/>
    </row>
    <row r="21" spans="2:63">
      <c r="B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K21" s="39"/>
    </row>
    <row r="22" spans="2:63">
      <c r="B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K22" s="39"/>
    </row>
    <row r="23" spans="2:63">
      <c r="B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K23" s="39"/>
    </row>
    <row r="24" spans="2:63">
      <c r="B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K24" s="39"/>
    </row>
    <row r="25" spans="2:63">
      <c r="B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K25" s="39"/>
    </row>
    <row r="26" spans="2:63">
      <c r="B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K26" s="39"/>
    </row>
    <row r="27" spans="2:63">
      <c r="B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K27" s="39"/>
    </row>
    <row r="28" spans="2:63">
      <c r="B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K28" s="39"/>
    </row>
    <row r="29" spans="2:63">
      <c r="B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K29" s="39"/>
    </row>
    <row r="30" spans="2:63">
      <c r="B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K30" s="39"/>
    </row>
    <row r="31" spans="2:63">
      <c r="B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K31" s="39"/>
    </row>
    <row r="32" spans="2:63">
      <c r="B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K32" s="39"/>
    </row>
    <row r="33" spans="2:63">
      <c r="B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K33" s="39"/>
    </row>
    <row r="34" spans="2:63">
      <c r="B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K34" s="39"/>
    </row>
    <row r="35" spans="2:63">
      <c r="B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K35" s="39"/>
    </row>
    <row r="36" spans="2:63">
      <c r="B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K36" s="39"/>
    </row>
    <row r="37" spans="2:63">
      <c r="B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K37" s="39"/>
    </row>
    <row r="38" spans="2:63">
      <c r="B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K38" s="39"/>
    </row>
    <row r="39" spans="2:63">
      <c r="B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K39" s="39"/>
    </row>
    <row r="40" spans="2:63">
      <c r="B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K40" s="39"/>
    </row>
    <row r="41" spans="2:63">
      <c r="B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K41" s="39"/>
    </row>
    <row r="42" spans="2:63">
      <c r="B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K42" s="39"/>
    </row>
    <row r="43" spans="2:63">
      <c r="B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K43" s="39"/>
    </row>
    <row r="44" spans="2:63">
      <c r="B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K44" s="39"/>
    </row>
    <row r="45" spans="2:63">
      <c r="B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K45" s="39"/>
    </row>
    <row r="46" spans="2:63">
      <c r="B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K46" s="39"/>
    </row>
    <row r="47" spans="2:63">
      <c r="B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K47" s="39"/>
    </row>
    <row r="48" spans="2:63">
      <c r="B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K48" s="39"/>
    </row>
    <row r="49" spans="2:63">
      <c r="B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K49" s="39"/>
    </row>
    <row r="50" spans="2:63">
      <c r="B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K50" s="39"/>
    </row>
    <row r="51" spans="2:63">
      <c r="B51" s="39"/>
      <c r="BK51" s="39"/>
    </row>
    <row r="52" s="6" customFormat="1" ht="3" customHeight="1" spans="2:63"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56"/>
  <sheetViews>
    <sheetView tabSelected="1" zoomScale="85" zoomScaleNormal="85" workbookViewId="0">
      <selection activeCell="E9" sqref="E9"/>
    </sheetView>
  </sheetViews>
  <sheetFormatPr defaultColWidth="9" defaultRowHeight="13.5"/>
  <cols>
    <col min="1" max="1" width="12.875" style="6" customWidth="1"/>
    <col min="2" max="5" width="7.125" style="6" customWidth="1"/>
    <col min="6" max="6" width="8.375" style="6" customWidth="1"/>
    <col min="7" max="10" width="7.125" style="6" customWidth="1"/>
    <col min="11" max="30" width="8.125" style="6" customWidth="1"/>
    <col min="31" max="31" width="9" style="6"/>
    <col min="32" max="32" width="8.125" style="6" customWidth="1"/>
    <col min="33" max="16384" width="9" style="6"/>
  </cols>
  <sheetData>
    <row r="1" s="1" customFormat="1" spans="1:2">
      <c r="A1" s="6"/>
      <c r="B1" s="6"/>
    </row>
    <row r="2" s="2" customFormat="1" spans="1:2">
      <c r="A2" s="7"/>
      <c r="B2" s="7"/>
    </row>
    <row r="3" s="2" customFormat="1" spans="1:2">
      <c r="A3" s="7"/>
      <c r="B3" s="7"/>
    </row>
    <row r="4" s="2" customFormat="1" spans="1:2">
      <c r="A4" s="7"/>
      <c r="B4" s="7"/>
    </row>
    <row r="5" s="2" customFormat="1" spans="1:2">
      <c r="A5" s="7"/>
      <c r="B5" s="7"/>
    </row>
    <row r="6" s="2" customFormat="1" spans="1:2">
      <c r="A6" s="7"/>
      <c r="B6" s="7"/>
    </row>
    <row r="7" s="3" customFormat="1" ht="14.25"/>
    <row r="8" s="4" customFormat="1" ht="14.25"/>
    <row r="9" s="5" customFormat="1" ht="14.25"/>
    <row r="10" ht="14.25"/>
    <row r="11" spans="1:32">
      <c r="A11" s="9" t="s">
        <v>0</v>
      </c>
      <c r="B11" s="10">
        <v>43831</v>
      </c>
      <c r="C11" s="10">
        <v>43832</v>
      </c>
      <c r="D11" s="10">
        <v>43833</v>
      </c>
      <c r="E11" s="10">
        <v>43834</v>
      </c>
      <c r="F11" s="10">
        <v>43835</v>
      </c>
      <c r="G11" s="10">
        <v>43836</v>
      </c>
      <c r="H11" s="10">
        <v>43837</v>
      </c>
      <c r="I11" s="10">
        <v>43838</v>
      </c>
      <c r="J11" s="10">
        <v>43839</v>
      </c>
      <c r="K11" s="10">
        <v>43840</v>
      </c>
      <c r="L11" s="10">
        <v>43841</v>
      </c>
      <c r="M11" s="10">
        <v>43842</v>
      </c>
      <c r="N11" s="10">
        <v>43843</v>
      </c>
      <c r="O11" s="10">
        <v>43844</v>
      </c>
      <c r="P11" s="10">
        <v>43845</v>
      </c>
      <c r="Q11" s="10">
        <v>43846</v>
      </c>
      <c r="R11" s="10">
        <v>43847</v>
      </c>
      <c r="S11" s="10">
        <v>43848</v>
      </c>
      <c r="T11" s="10">
        <v>43849</v>
      </c>
      <c r="U11" s="10">
        <v>43850</v>
      </c>
      <c r="V11" s="10">
        <v>43851</v>
      </c>
      <c r="W11" s="10">
        <v>43852</v>
      </c>
      <c r="X11" s="10">
        <v>43853</v>
      </c>
      <c r="Y11" s="10">
        <v>43854</v>
      </c>
      <c r="Z11" s="10">
        <v>43855</v>
      </c>
      <c r="AA11" s="10">
        <v>43856</v>
      </c>
      <c r="AB11" s="10">
        <v>43857</v>
      </c>
      <c r="AC11" s="10">
        <v>43858</v>
      </c>
      <c r="AD11" s="10">
        <v>43859</v>
      </c>
      <c r="AE11" s="10">
        <v>43860</v>
      </c>
      <c r="AF11" s="10">
        <v>43861</v>
      </c>
    </row>
    <row r="12" spans="1:32">
      <c r="A12" s="9" t="s">
        <v>1</v>
      </c>
      <c r="B12" s="11">
        <f ca="1" t="shared" ref="B12:AF12" si="0">RANDBETWEEN(1,100)</f>
        <v>20</v>
      </c>
      <c r="C12" s="11">
        <f ca="1" t="shared" si="0"/>
        <v>20</v>
      </c>
      <c r="D12" s="11">
        <f ca="1" t="shared" si="0"/>
        <v>100</v>
      </c>
      <c r="E12" s="11">
        <f ca="1" t="shared" si="0"/>
        <v>50</v>
      </c>
      <c r="F12" s="11">
        <f ca="1" t="shared" si="0"/>
        <v>49</v>
      </c>
      <c r="G12" s="11">
        <f ca="1" t="shared" si="0"/>
        <v>1</v>
      </c>
      <c r="H12" s="11">
        <f ca="1" t="shared" si="0"/>
        <v>26</v>
      </c>
      <c r="I12" s="11">
        <f ca="1" t="shared" si="0"/>
        <v>51</v>
      </c>
      <c r="J12" s="11">
        <f ca="1" t="shared" si="0"/>
        <v>34</v>
      </c>
      <c r="K12" s="11">
        <f ca="1" t="shared" si="0"/>
        <v>82</v>
      </c>
      <c r="L12" s="11">
        <f ca="1" t="shared" si="0"/>
        <v>23</v>
      </c>
      <c r="M12" s="11">
        <f ca="1" t="shared" si="0"/>
        <v>61</v>
      </c>
      <c r="N12" s="11">
        <f ca="1" t="shared" si="0"/>
        <v>97</v>
      </c>
      <c r="O12" s="11">
        <f ca="1" t="shared" si="0"/>
        <v>8</v>
      </c>
      <c r="P12" s="11">
        <f ca="1" t="shared" si="0"/>
        <v>46</v>
      </c>
      <c r="Q12" s="11">
        <f ca="1" t="shared" si="0"/>
        <v>71</v>
      </c>
      <c r="R12" s="11">
        <f ca="1" t="shared" si="0"/>
        <v>13</v>
      </c>
      <c r="S12" s="11">
        <f ca="1" t="shared" si="0"/>
        <v>20</v>
      </c>
      <c r="T12" s="11">
        <f ca="1" t="shared" si="0"/>
        <v>72</v>
      </c>
      <c r="U12" s="11">
        <f ca="1" t="shared" si="0"/>
        <v>99</v>
      </c>
      <c r="V12" s="11">
        <f ca="1" t="shared" si="0"/>
        <v>78</v>
      </c>
      <c r="W12" s="11">
        <f ca="1" t="shared" si="0"/>
        <v>80</v>
      </c>
      <c r="X12" s="11">
        <f ca="1" t="shared" si="0"/>
        <v>55</v>
      </c>
      <c r="Y12" s="11">
        <f ca="1" t="shared" si="0"/>
        <v>44</v>
      </c>
      <c r="Z12" s="11">
        <f ca="1" t="shared" si="0"/>
        <v>86</v>
      </c>
      <c r="AA12" s="11">
        <f ca="1" t="shared" si="0"/>
        <v>14</v>
      </c>
      <c r="AB12" s="11">
        <f ca="1" t="shared" si="0"/>
        <v>94</v>
      </c>
      <c r="AC12" s="11">
        <f ca="1" t="shared" si="0"/>
        <v>59</v>
      </c>
      <c r="AD12" s="11">
        <f ca="1" t="shared" si="0"/>
        <v>91</v>
      </c>
      <c r="AE12" s="11">
        <f ca="1" t="shared" si="0"/>
        <v>87</v>
      </c>
      <c r="AF12" s="11">
        <f ca="1" t="shared" si="0"/>
        <v>35</v>
      </c>
    </row>
    <row r="13" spans="1:32">
      <c r="A13" s="9" t="s">
        <v>2</v>
      </c>
      <c r="B13" s="11">
        <f ca="1">RANDBETWEEN(100,500)</f>
        <v>420</v>
      </c>
      <c r="C13" s="11">
        <f ca="1" t="shared" ref="B13:AF13" si="1">RANDBETWEEN(150,500)</f>
        <v>195</v>
      </c>
      <c r="D13" s="11">
        <f ca="1" t="shared" si="1"/>
        <v>167</v>
      </c>
      <c r="E13" s="11">
        <f ca="1" t="shared" si="1"/>
        <v>428</v>
      </c>
      <c r="F13" s="11">
        <f ca="1" t="shared" si="1"/>
        <v>287</v>
      </c>
      <c r="G13" s="11">
        <f ca="1" t="shared" si="1"/>
        <v>191</v>
      </c>
      <c r="H13" s="11">
        <f ca="1" t="shared" si="1"/>
        <v>474</v>
      </c>
      <c r="I13" s="11">
        <f ca="1" t="shared" si="1"/>
        <v>283</v>
      </c>
      <c r="J13" s="11">
        <f ca="1" t="shared" si="1"/>
        <v>242</v>
      </c>
      <c r="K13" s="11">
        <f ca="1" t="shared" si="1"/>
        <v>427</v>
      </c>
      <c r="L13" s="11">
        <f ca="1" t="shared" si="1"/>
        <v>445</v>
      </c>
      <c r="M13" s="11">
        <f ca="1" t="shared" si="1"/>
        <v>490</v>
      </c>
      <c r="N13" s="11">
        <f ca="1" t="shared" si="1"/>
        <v>452</v>
      </c>
      <c r="O13" s="11">
        <f ca="1" t="shared" si="1"/>
        <v>269</v>
      </c>
      <c r="P13" s="11">
        <f ca="1" t="shared" si="1"/>
        <v>353</v>
      </c>
      <c r="Q13" s="11">
        <f ca="1" t="shared" si="1"/>
        <v>295</v>
      </c>
      <c r="R13" s="11">
        <f ca="1" t="shared" si="1"/>
        <v>361</v>
      </c>
      <c r="S13" s="11">
        <f ca="1" t="shared" si="1"/>
        <v>168</v>
      </c>
      <c r="T13" s="11">
        <f ca="1" t="shared" si="1"/>
        <v>301</v>
      </c>
      <c r="U13" s="11">
        <f ca="1" t="shared" si="1"/>
        <v>220</v>
      </c>
      <c r="V13" s="11">
        <f ca="1" t="shared" si="1"/>
        <v>362</v>
      </c>
      <c r="W13" s="11">
        <f ca="1" t="shared" si="1"/>
        <v>267</v>
      </c>
      <c r="X13" s="11">
        <f ca="1" t="shared" si="1"/>
        <v>317</v>
      </c>
      <c r="Y13" s="11">
        <f ca="1" t="shared" si="1"/>
        <v>296</v>
      </c>
      <c r="Z13" s="11">
        <f ca="1" t="shared" si="1"/>
        <v>349</v>
      </c>
      <c r="AA13" s="11">
        <f ca="1" t="shared" si="1"/>
        <v>400</v>
      </c>
      <c r="AB13" s="11">
        <f ca="1" t="shared" si="1"/>
        <v>369</v>
      </c>
      <c r="AC13" s="11">
        <f ca="1" t="shared" si="1"/>
        <v>208</v>
      </c>
      <c r="AD13" s="11">
        <f ca="1" t="shared" si="1"/>
        <v>331</v>
      </c>
      <c r="AE13" s="11">
        <f ca="1" t="shared" si="1"/>
        <v>166</v>
      </c>
      <c r="AF13" s="11">
        <f ca="1" t="shared" si="1"/>
        <v>333</v>
      </c>
    </row>
    <row r="14" spans="1:32">
      <c r="A14" s="9" t="s">
        <v>3</v>
      </c>
      <c r="B14" s="11">
        <f ca="1" t="shared" ref="B14:AF14" si="2">B13*B12</f>
        <v>8400</v>
      </c>
      <c r="C14" s="11">
        <f ca="1" t="shared" si="2"/>
        <v>3900</v>
      </c>
      <c r="D14" s="11">
        <f ca="1" t="shared" si="2"/>
        <v>16700</v>
      </c>
      <c r="E14" s="11">
        <f ca="1" t="shared" si="2"/>
        <v>21400</v>
      </c>
      <c r="F14" s="11">
        <f ca="1" t="shared" si="2"/>
        <v>14063</v>
      </c>
      <c r="G14" s="11">
        <f ca="1" t="shared" si="2"/>
        <v>191</v>
      </c>
      <c r="H14" s="11">
        <f ca="1" t="shared" si="2"/>
        <v>12324</v>
      </c>
      <c r="I14" s="11">
        <f ca="1" t="shared" si="2"/>
        <v>14433</v>
      </c>
      <c r="J14" s="11">
        <f ca="1" t="shared" si="2"/>
        <v>8228</v>
      </c>
      <c r="K14" s="11">
        <f ca="1" t="shared" si="2"/>
        <v>35014</v>
      </c>
      <c r="L14" s="11">
        <f ca="1" t="shared" si="2"/>
        <v>10235</v>
      </c>
      <c r="M14" s="11">
        <f ca="1" t="shared" si="2"/>
        <v>29890</v>
      </c>
      <c r="N14" s="11">
        <f ca="1" t="shared" si="2"/>
        <v>43844</v>
      </c>
      <c r="O14" s="11">
        <f ca="1" t="shared" si="2"/>
        <v>2152</v>
      </c>
      <c r="P14" s="11">
        <f ca="1" t="shared" si="2"/>
        <v>16238</v>
      </c>
      <c r="Q14" s="11">
        <f ca="1" t="shared" si="2"/>
        <v>20945</v>
      </c>
      <c r="R14" s="11">
        <f ca="1" t="shared" si="2"/>
        <v>4693</v>
      </c>
      <c r="S14" s="11">
        <f ca="1" t="shared" si="2"/>
        <v>3360</v>
      </c>
      <c r="T14" s="11">
        <f ca="1" t="shared" si="2"/>
        <v>21672</v>
      </c>
      <c r="U14" s="11">
        <f ca="1" t="shared" si="2"/>
        <v>21780</v>
      </c>
      <c r="V14" s="11">
        <f ca="1" t="shared" si="2"/>
        <v>28236</v>
      </c>
      <c r="W14" s="11">
        <f ca="1" t="shared" si="2"/>
        <v>21360</v>
      </c>
      <c r="X14" s="11">
        <f ca="1" t="shared" si="2"/>
        <v>17435</v>
      </c>
      <c r="Y14" s="11">
        <f ca="1" t="shared" si="2"/>
        <v>13024</v>
      </c>
      <c r="Z14" s="11">
        <f ca="1" t="shared" si="2"/>
        <v>30014</v>
      </c>
      <c r="AA14" s="11">
        <f ca="1" t="shared" si="2"/>
        <v>5600</v>
      </c>
      <c r="AB14" s="11">
        <f ca="1" t="shared" si="2"/>
        <v>34686</v>
      </c>
      <c r="AC14" s="11">
        <f ca="1" t="shared" si="2"/>
        <v>12272</v>
      </c>
      <c r="AD14" s="11">
        <f ca="1" t="shared" si="2"/>
        <v>30121</v>
      </c>
      <c r="AE14" s="11">
        <f ca="1" t="shared" si="2"/>
        <v>14442</v>
      </c>
      <c r="AF14" s="11">
        <f ca="1" t="shared" si="2"/>
        <v>11655</v>
      </c>
    </row>
    <row r="16" spans="1:10">
      <c r="A16" s="9" t="s">
        <v>4</v>
      </c>
      <c r="B16" s="9" t="s">
        <v>5</v>
      </c>
      <c r="C16" s="9" t="s">
        <v>6</v>
      </c>
      <c r="D16" s="12" t="s">
        <v>7</v>
      </c>
      <c r="E16" s="13"/>
      <c r="G16" s="9" t="s">
        <v>8</v>
      </c>
      <c r="H16" s="9" t="s">
        <v>9</v>
      </c>
      <c r="I16" s="9" t="s">
        <v>10</v>
      </c>
      <c r="J16" s="9" t="s">
        <v>11</v>
      </c>
    </row>
    <row r="17" spans="1:10">
      <c r="A17" s="11">
        <f ca="1">INT(SUM(B19:AF19)/COUNT(B19:AF19))</f>
        <v>17042</v>
      </c>
      <c r="B17" s="11">
        <f ca="1">MIN(B19:AF19)</f>
        <v>191</v>
      </c>
      <c r="C17" s="11">
        <f ca="1">MAX(B19:AF19)</f>
        <v>43844</v>
      </c>
      <c r="D17" s="16">
        <f ca="1">SMALL(B19:AF19,3)</f>
        <v>3360</v>
      </c>
      <c r="E17" s="17"/>
      <c r="G17" s="11">
        <f ca="1">SUM(B14:K14)</f>
        <v>134653</v>
      </c>
      <c r="H17" s="11">
        <f ca="1">SUM(L14:U14)</f>
        <v>174809</v>
      </c>
      <c r="I17" s="11">
        <f ca="1">SUM(V14:AF14)</f>
        <v>218845</v>
      </c>
      <c r="J17" s="11">
        <f ca="1">SUM(14:14)</f>
        <v>528307</v>
      </c>
    </row>
    <row r="19" spans="1:32">
      <c r="A19" s="9" t="s">
        <v>12</v>
      </c>
      <c r="B19" s="11">
        <f ca="1" t="shared" ref="B19:AF19" si="3">B14</f>
        <v>8400</v>
      </c>
      <c r="C19" s="11">
        <f ca="1" t="shared" si="3"/>
        <v>3900</v>
      </c>
      <c r="D19" s="11">
        <f ca="1" t="shared" si="3"/>
        <v>16700</v>
      </c>
      <c r="E19" s="11">
        <f ca="1" t="shared" si="3"/>
        <v>21400</v>
      </c>
      <c r="F19" s="11">
        <f ca="1" t="shared" si="3"/>
        <v>14063</v>
      </c>
      <c r="G19" s="11">
        <f ca="1" t="shared" si="3"/>
        <v>191</v>
      </c>
      <c r="H19" s="11">
        <f ca="1" t="shared" si="3"/>
        <v>12324</v>
      </c>
      <c r="I19" s="11">
        <f ca="1" t="shared" si="3"/>
        <v>14433</v>
      </c>
      <c r="J19" s="11">
        <f ca="1" t="shared" si="3"/>
        <v>8228</v>
      </c>
      <c r="K19" s="11">
        <f ca="1" t="shared" si="3"/>
        <v>35014</v>
      </c>
      <c r="L19" s="11">
        <f ca="1" t="shared" si="3"/>
        <v>10235</v>
      </c>
      <c r="M19" s="11">
        <f ca="1" t="shared" si="3"/>
        <v>29890</v>
      </c>
      <c r="N19" s="11">
        <f ca="1" t="shared" si="3"/>
        <v>43844</v>
      </c>
      <c r="O19" s="11">
        <f ca="1" t="shared" si="3"/>
        <v>2152</v>
      </c>
      <c r="P19" s="11">
        <f ca="1" t="shared" si="3"/>
        <v>16238</v>
      </c>
      <c r="Q19" s="11">
        <f ca="1" t="shared" si="3"/>
        <v>20945</v>
      </c>
      <c r="R19" s="11">
        <f ca="1" t="shared" si="3"/>
        <v>4693</v>
      </c>
      <c r="S19" s="11">
        <f ca="1" t="shared" si="3"/>
        <v>3360</v>
      </c>
      <c r="T19" s="11">
        <f ca="1" t="shared" si="3"/>
        <v>21672</v>
      </c>
      <c r="U19" s="11">
        <f ca="1" t="shared" si="3"/>
        <v>21780</v>
      </c>
      <c r="V19" s="11">
        <f ca="1" t="shared" si="3"/>
        <v>28236</v>
      </c>
      <c r="W19" s="11">
        <f ca="1" t="shared" si="3"/>
        <v>21360</v>
      </c>
      <c r="X19" s="11">
        <f ca="1" t="shared" si="3"/>
        <v>17435</v>
      </c>
      <c r="Y19" s="11">
        <f ca="1" t="shared" si="3"/>
        <v>13024</v>
      </c>
      <c r="Z19" s="11">
        <f ca="1" t="shared" si="3"/>
        <v>30014</v>
      </c>
      <c r="AA19" s="11">
        <f ca="1" t="shared" si="3"/>
        <v>5600</v>
      </c>
      <c r="AB19" s="11">
        <f ca="1" t="shared" si="3"/>
        <v>34686</v>
      </c>
      <c r="AC19" s="11">
        <f ca="1" t="shared" si="3"/>
        <v>12272</v>
      </c>
      <c r="AD19" s="11">
        <f ca="1" t="shared" si="3"/>
        <v>30121</v>
      </c>
      <c r="AE19" s="11">
        <f ca="1" t="shared" si="3"/>
        <v>14442</v>
      </c>
      <c r="AF19" s="11">
        <f ca="1" t="shared" si="3"/>
        <v>11655</v>
      </c>
    </row>
    <row r="20" spans="1:32">
      <c r="A20" s="9" t="s">
        <v>13</v>
      </c>
      <c r="B20" s="11">
        <f ca="1">INT(SUM(B19:AF19)/COUNT(B19:AF19))</f>
        <v>17042</v>
      </c>
      <c r="C20" s="11">
        <f ca="1">INT(SUM(B19:AF19)/COUNT(B19:AF19))</f>
        <v>17042</v>
      </c>
      <c r="D20" s="11">
        <f ca="1">INT(SUM(B19:AF19)/COUNT(B19:AF19))</f>
        <v>17042</v>
      </c>
      <c r="E20" s="11">
        <f ca="1">INT(SUM(B19:AF19)/COUNT(B19:AF19))</f>
        <v>17042</v>
      </c>
      <c r="F20" s="11">
        <f ca="1">INT(SUM(B19:AF19)/COUNT(B19:AF19))</f>
        <v>17042</v>
      </c>
      <c r="G20" s="11">
        <f ca="1">INT(SUM(B19:AF19)/COUNT(B19:AF19))</f>
        <v>17042</v>
      </c>
      <c r="H20" s="11">
        <f ca="1">INT(SUM(B19:AF19)/COUNT(B19:AF19))</f>
        <v>17042</v>
      </c>
      <c r="I20" s="11">
        <f ca="1">INT(SUM(B19:AF19)/COUNT(B19:AF19))</f>
        <v>17042</v>
      </c>
      <c r="J20" s="11">
        <f ca="1">INT(SUM(B19:AF19)/COUNT(B19:AF19))</f>
        <v>17042</v>
      </c>
      <c r="K20" s="11">
        <f ca="1">INT(SUM(B19:AF19)/COUNT(B19:AF19))</f>
        <v>17042</v>
      </c>
      <c r="L20" s="11">
        <f ca="1">INT(SUM(B19:AF19)/COUNT(B19:AF19))</f>
        <v>17042</v>
      </c>
      <c r="M20" s="11">
        <f ca="1">INT(SUM(B19:AF19)/COUNT(B19:AF19))</f>
        <v>17042</v>
      </c>
      <c r="N20" s="11">
        <f ca="1">INT(SUM(B19:AF19)/COUNT(B19:AF19))</f>
        <v>17042</v>
      </c>
      <c r="O20" s="11">
        <f ca="1">INT(SUM(B19:AF19)/COUNT(B19:AF19))</f>
        <v>17042</v>
      </c>
      <c r="P20" s="11">
        <f ca="1">INT(SUM(B19:AF19)/COUNT(B19:AF19))</f>
        <v>17042</v>
      </c>
      <c r="Q20" s="11">
        <f ca="1">INT(SUM(B19:AF19)/COUNT(B19:AF19))</f>
        <v>17042</v>
      </c>
      <c r="R20" s="11">
        <f ca="1">INT(SUM(B19:AF19)/COUNT(B19:AF19))</f>
        <v>17042</v>
      </c>
      <c r="S20" s="11">
        <f ca="1">INT(SUM(B19:AF19)/COUNT(B19:AF19))</f>
        <v>17042</v>
      </c>
      <c r="T20" s="11">
        <f ca="1">INT(SUM(B19:AF19)/COUNT(B19:AF19))</f>
        <v>17042</v>
      </c>
      <c r="U20" s="11">
        <f ca="1">INT(SUM(B19:AF19)/COUNT(B19:AF19))</f>
        <v>17042</v>
      </c>
      <c r="V20" s="11">
        <f ca="1">INT(SUM(B19:AF19)/COUNT(B19:AF19))</f>
        <v>17042</v>
      </c>
      <c r="W20" s="11">
        <f ca="1">INT(SUM(B19:AF19)/COUNT(B19:AF19))</f>
        <v>17042</v>
      </c>
      <c r="X20" s="11">
        <f ca="1">INT(SUM(B19:AF19)/COUNT(B19:AF19))</f>
        <v>17042</v>
      </c>
      <c r="Y20" s="11">
        <f ca="1">INT(SUM(B19:AF19)/COUNT(B19:AF19))</f>
        <v>17042</v>
      </c>
      <c r="Z20" s="11">
        <f ca="1">INT(SUM(B19:AF19)/COUNT(B19:AF19))</f>
        <v>17042</v>
      </c>
      <c r="AA20" s="11">
        <f ca="1">INT(SUM(B19:AF19)/COUNT(B19:AF19))</f>
        <v>17042</v>
      </c>
      <c r="AB20" s="11">
        <f ca="1">INT(SUM(B19:AF19)/COUNT(B19:AF19))</f>
        <v>17042</v>
      </c>
      <c r="AC20" s="11">
        <f ca="1">INT(SUM(B19:AF19)/COUNT(B19:AF19))</f>
        <v>17042</v>
      </c>
      <c r="AD20" s="11">
        <f ca="1">INT(SUM(B19:AF19)/COUNT(B19:AF19))</f>
        <v>17042</v>
      </c>
      <c r="AE20" s="11">
        <f ca="1">INT(SUM(B19:AF19)/COUNT(B19:AF19))</f>
        <v>17042</v>
      </c>
      <c r="AF20" s="11">
        <f ca="1">INT(SUM(B19:AF19)/COUNT(B19:AF19))</f>
        <v>17042</v>
      </c>
    </row>
    <row r="21" spans="1:32">
      <c r="A21" s="9" t="s">
        <v>14</v>
      </c>
      <c r="B21" s="11" t="e">
        <f ca="1" t="shared" ref="B21:AF21" si="4">IF(B19&gt;B20,B19,NA())</f>
        <v>#N/A</v>
      </c>
      <c r="C21" s="11" t="e">
        <f ca="1" t="shared" si="4"/>
        <v>#N/A</v>
      </c>
      <c r="D21" s="11" t="e">
        <f ca="1" t="shared" si="4"/>
        <v>#N/A</v>
      </c>
      <c r="E21" s="11">
        <f ca="1" t="shared" si="4"/>
        <v>21400</v>
      </c>
      <c r="F21" s="11" t="e">
        <f ca="1" t="shared" si="4"/>
        <v>#N/A</v>
      </c>
      <c r="G21" s="11" t="e">
        <f ca="1" t="shared" si="4"/>
        <v>#N/A</v>
      </c>
      <c r="H21" s="11" t="e">
        <f ca="1" t="shared" si="4"/>
        <v>#N/A</v>
      </c>
      <c r="I21" s="11" t="e">
        <f ca="1" t="shared" si="4"/>
        <v>#N/A</v>
      </c>
      <c r="J21" s="11" t="e">
        <f ca="1" t="shared" si="4"/>
        <v>#N/A</v>
      </c>
      <c r="K21" s="11">
        <f ca="1" t="shared" si="4"/>
        <v>35014</v>
      </c>
      <c r="L21" s="11" t="e">
        <f ca="1" t="shared" si="4"/>
        <v>#N/A</v>
      </c>
      <c r="M21" s="11">
        <f ca="1" t="shared" si="4"/>
        <v>29890</v>
      </c>
      <c r="N21" s="11">
        <f ca="1" t="shared" si="4"/>
        <v>43844</v>
      </c>
      <c r="O21" s="11" t="e">
        <f ca="1" t="shared" si="4"/>
        <v>#N/A</v>
      </c>
      <c r="P21" s="11" t="e">
        <f ca="1" t="shared" si="4"/>
        <v>#N/A</v>
      </c>
      <c r="Q21" s="11">
        <f ca="1" t="shared" si="4"/>
        <v>20945</v>
      </c>
      <c r="R21" s="11" t="e">
        <f ca="1" t="shared" si="4"/>
        <v>#N/A</v>
      </c>
      <c r="S21" s="11" t="e">
        <f ca="1" t="shared" si="4"/>
        <v>#N/A</v>
      </c>
      <c r="T21" s="11">
        <f ca="1" t="shared" si="4"/>
        <v>21672</v>
      </c>
      <c r="U21" s="11">
        <f ca="1" t="shared" si="4"/>
        <v>21780</v>
      </c>
      <c r="V21" s="11">
        <f ca="1" t="shared" si="4"/>
        <v>28236</v>
      </c>
      <c r="W21" s="11">
        <f ca="1" t="shared" si="4"/>
        <v>21360</v>
      </c>
      <c r="X21" s="11">
        <f ca="1" t="shared" si="4"/>
        <v>17435</v>
      </c>
      <c r="Y21" s="11" t="e">
        <f ca="1" t="shared" si="4"/>
        <v>#N/A</v>
      </c>
      <c r="Z21" s="11">
        <f ca="1" t="shared" si="4"/>
        <v>30014</v>
      </c>
      <c r="AA21" s="11" t="e">
        <f ca="1" t="shared" si="4"/>
        <v>#N/A</v>
      </c>
      <c r="AB21" s="11">
        <f ca="1" t="shared" si="4"/>
        <v>34686</v>
      </c>
      <c r="AC21" s="11" t="e">
        <f ca="1" t="shared" si="4"/>
        <v>#N/A</v>
      </c>
      <c r="AD21" s="11">
        <f ca="1" t="shared" si="4"/>
        <v>30121</v>
      </c>
      <c r="AE21" s="11" t="e">
        <f ca="1" t="shared" si="4"/>
        <v>#N/A</v>
      </c>
      <c r="AF21" s="11" t="e">
        <f ca="1" t="shared" si="4"/>
        <v>#N/A</v>
      </c>
    </row>
    <row r="22" spans="1:32">
      <c r="A22" s="9" t="s">
        <v>15</v>
      </c>
      <c r="B22" s="11">
        <f ca="1" t="shared" ref="B22:AF22" si="5">IF(B19&lt;D17,B19,IF(B19&lt;B20,B19,NA()))</f>
        <v>8400</v>
      </c>
      <c r="C22" s="11">
        <f ca="1" t="shared" si="5"/>
        <v>3900</v>
      </c>
      <c r="D22" s="11">
        <f ca="1">IF(D19&lt;J17,D19,IF(D19&lt;D20,D19,NA()))</f>
        <v>16700</v>
      </c>
      <c r="E22" s="11">
        <f ca="1" t="shared" si="5"/>
        <v>21400</v>
      </c>
      <c r="F22" s="11">
        <f ca="1" t="shared" si="5"/>
        <v>14063</v>
      </c>
      <c r="G22" s="11">
        <f ca="1" t="shared" si="5"/>
        <v>191</v>
      </c>
      <c r="H22" s="11" t="e">
        <f ca="1">IF(H19&lt;#REF!,H19,IF(H19&lt;H20,H19,NA()))</f>
        <v>#REF!</v>
      </c>
      <c r="I22" s="11">
        <f ca="1" t="shared" si="5"/>
        <v>14433</v>
      </c>
      <c r="J22" s="11">
        <f ca="1" t="shared" si="5"/>
        <v>8228</v>
      </c>
      <c r="K22" s="11" t="e">
        <f ca="1" t="shared" si="5"/>
        <v>#N/A</v>
      </c>
      <c r="L22" s="11">
        <f ca="1" t="shared" si="5"/>
        <v>10235</v>
      </c>
      <c r="M22" s="11" t="e">
        <f ca="1" t="shared" si="5"/>
        <v>#N/A</v>
      </c>
      <c r="N22" s="11" t="e">
        <f ca="1" t="shared" si="5"/>
        <v>#N/A</v>
      </c>
      <c r="O22" s="11">
        <f ca="1" t="shared" si="5"/>
        <v>2152</v>
      </c>
      <c r="P22" s="11">
        <f ca="1" t="shared" si="5"/>
        <v>16238</v>
      </c>
      <c r="Q22" s="11" t="e">
        <f ca="1" t="shared" si="5"/>
        <v>#N/A</v>
      </c>
      <c r="R22" s="11">
        <f ca="1" t="shared" si="5"/>
        <v>4693</v>
      </c>
      <c r="S22" s="11">
        <f ca="1" t="shared" si="5"/>
        <v>3360</v>
      </c>
      <c r="T22" s="11" t="e">
        <f ca="1" t="shared" si="5"/>
        <v>#N/A</v>
      </c>
      <c r="U22" s="11" t="e">
        <f ca="1" t="shared" si="5"/>
        <v>#N/A</v>
      </c>
      <c r="V22" s="11" t="e">
        <f ca="1" t="shared" si="5"/>
        <v>#N/A</v>
      </c>
      <c r="W22" s="11" t="e">
        <f ca="1" t="shared" si="5"/>
        <v>#N/A</v>
      </c>
      <c r="X22" s="11" t="e">
        <f ca="1" t="shared" si="5"/>
        <v>#N/A</v>
      </c>
      <c r="Y22" s="11">
        <f ca="1" t="shared" si="5"/>
        <v>13024</v>
      </c>
      <c r="Z22" s="11" t="e">
        <f ca="1" t="shared" si="5"/>
        <v>#N/A</v>
      </c>
      <c r="AA22" s="11">
        <f ca="1" t="shared" si="5"/>
        <v>5600</v>
      </c>
      <c r="AB22" s="11" t="e">
        <f ca="1" t="shared" si="5"/>
        <v>#N/A</v>
      </c>
      <c r="AC22" s="11">
        <f ca="1" t="shared" si="5"/>
        <v>12272</v>
      </c>
      <c r="AD22" s="11" t="e">
        <f ca="1" t="shared" si="5"/>
        <v>#N/A</v>
      </c>
      <c r="AE22" s="11">
        <f ca="1" t="shared" si="5"/>
        <v>14442</v>
      </c>
      <c r="AF22" s="11">
        <f ca="1" t="shared" si="5"/>
        <v>11655</v>
      </c>
    </row>
    <row r="24" spans="1:8">
      <c r="A24" s="9"/>
      <c r="B24" s="9" t="s">
        <v>16</v>
      </c>
      <c r="C24" s="9" t="e">
        <f t="shared" ref="C24:G24" si="6">NA()</f>
        <v>#N/A</v>
      </c>
      <c r="D24" s="9" t="s">
        <v>17</v>
      </c>
      <c r="E24" s="9" t="e">
        <f t="shared" si="6"/>
        <v>#N/A</v>
      </c>
      <c r="F24" s="9" t="s">
        <v>18</v>
      </c>
      <c r="G24" s="9" t="e">
        <f t="shared" si="6"/>
        <v>#N/A</v>
      </c>
      <c r="H24" s="9" t="s">
        <v>19</v>
      </c>
    </row>
    <row r="25" spans="1:32">
      <c r="A25" s="9" t="s">
        <v>20</v>
      </c>
      <c r="B25" s="19">
        <f ca="1">SUM(LARGE(B19:AF19,{1,2,3,4,5}))/J17*100%</f>
        <v>0.328746353919217</v>
      </c>
      <c r="C25" s="20" t="e">
        <f t="shared" ref="C25:G25" si="7">NA()</f>
        <v>#N/A</v>
      </c>
      <c r="D25" s="20">
        <f ca="1">SUM(LARGE(B19:AF19,{1,2,3,4,5,6,7,8,9,10}))/J17*100%</f>
        <v>0.561523886679525</v>
      </c>
      <c r="E25" s="20" t="e">
        <f t="shared" si="7"/>
        <v>#N/A</v>
      </c>
      <c r="F25" s="20">
        <f ca="1">SUM(SMALL(B19:AF19,1),SMALL(B19:AF19,2),SMALL(B19:AF19,3),SMALL(B19:AF19,4),SMALL(B19:AF19,5),SMALL(B19:AF19,6),SMALL(B19:AF19,7),SMALL(B19:AF19,8),SMALL(B19:AF19,9),SMALL(B19:AF19,10))/J17*100%</f>
        <v>0.110568286999794</v>
      </c>
      <c r="G25" s="20" t="e">
        <f t="shared" si="7"/>
        <v>#N/A</v>
      </c>
      <c r="H25" s="20">
        <f ca="1">SUM(SMALL(B19:AF19,1),SMALL(B19:AF19,2),SMALL(B19:AF19,3),SMALL(B19:AF19,4),SMALL(B19:AF19,5))/J17*100%</f>
        <v>0.0270600238119124</v>
      </c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2:32"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2:26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6"/>
      <c r="S27" s="30"/>
      <c r="T27" s="31"/>
      <c r="U27" s="31"/>
      <c r="V27" s="31"/>
      <c r="W27" s="31"/>
      <c r="X27" s="31"/>
      <c r="Y27" s="31"/>
      <c r="Z27" s="36"/>
    </row>
    <row r="28" spans="2:26">
      <c r="B28" s="23"/>
      <c r="R28" s="27"/>
      <c r="S28" s="32"/>
      <c r="T28" s="33"/>
      <c r="U28" s="33"/>
      <c r="V28" s="33"/>
      <c r="W28" s="33"/>
      <c r="X28" s="33"/>
      <c r="Y28" s="33"/>
      <c r="Z28" s="37"/>
    </row>
    <row r="29" spans="2:26">
      <c r="B29" s="23"/>
      <c r="R29" s="27"/>
      <c r="S29" s="32"/>
      <c r="T29" s="33"/>
      <c r="U29" s="33"/>
      <c r="V29" s="33"/>
      <c r="W29" s="33"/>
      <c r="X29" s="33"/>
      <c r="Y29" s="33"/>
      <c r="Z29" s="37"/>
    </row>
    <row r="30" spans="2:26">
      <c r="B30" s="23"/>
      <c r="R30" s="27"/>
      <c r="S30" s="32"/>
      <c r="T30" s="33"/>
      <c r="U30" s="33"/>
      <c r="V30" s="33"/>
      <c r="W30" s="33"/>
      <c r="X30" s="33"/>
      <c r="Y30" s="33"/>
      <c r="Z30" s="37"/>
    </row>
    <row r="31" spans="2:26">
      <c r="B31" s="23"/>
      <c r="R31" s="27"/>
      <c r="S31" s="32"/>
      <c r="T31" s="33"/>
      <c r="U31" s="33"/>
      <c r="V31" s="33"/>
      <c r="W31" s="33"/>
      <c r="X31" s="33"/>
      <c r="Y31" s="33"/>
      <c r="Z31" s="37"/>
    </row>
    <row r="32" spans="2:26">
      <c r="B32" s="23"/>
      <c r="R32" s="27"/>
      <c r="S32" s="32"/>
      <c r="T32" s="33"/>
      <c r="U32" s="33"/>
      <c r="V32" s="33"/>
      <c r="W32" s="33"/>
      <c r="X32" s="33"/>
      <c r="Y32" s="33"/>
      <c r="Z32" s="37"/>
    </row>
    <row r="33" spans="2:26">
      <c r="B33" s="23"/>
      <c r="R33" s="27"/>
      <c r="S33" s="32"/>
      <c r="T33" s="33"/>
      <c r="U33" s="33"/>
      <c r="V33" s="33"/>
      <c r="W33" s="33"/>
      <c r="X33" s="33"/>
      <c r="Y33" s="33"/>
      <c r="Z33" s="37"/>
    </row>
    <row r="34" spans="2:26">
      <c r="B34" s="23"/>
      <c r="R34" s="27"/>
      <c r="S34" s="32"/>
      <c r="T34" s="33"/>
      <c r="U34" s="33"/>
      <c r="V34" s="33"/>
      <c r="W34" s="33"/>
      <c r="X34" s="33"/>
      <c r="Y34" s="33"/>
      <c r="Z34" s="37"/>
    </row>
    <row r="35" spans="2:26">
      <c r="B35" s="23"/>
      <c r="R35" s="27"/>
      <c r="S35" s="32"/>
      <c r="T35" s="33"/>
      <c r="U35" s="33"/>
      <c r="V35" s="33"/>
      <c r="W35" s="33"/>
      <c r="X35" s="33"/>
      <c r="Y35" s="33"/>
      <c r="Z35" s="37"/>
    </row>
    <row r="36" spans="2:26">
      <c r="B36" s="23"/>
      <c r="R36" s="27"/>
      <c r="S36" s="32"/>
      <c r="T36" s="33"/>
      <c r="U36" s="33"/>
      <c r="V36" s="33"/>
      <c r="W36" s="33"/>
      <c r="X36" s="33"/>
      <c r="Y36" s="33"/>
      <c r="Z36" s="37"/>
    </row>
    <row r="37" spans="2:26">
      <c r="B37" s="23"/>
      <c r="R37" s="27"/>
      <c r="S37" s="32"/>
      <c r="T37" s="33"/>
      <c r="U37" s="33"/>
      <c r="V37" s="33"/>
      <c r="W37" s="33"/>
      <c r="X37" s="33"/>
      <c r="Y37" s="33"/>
      <c r="Z37" s="37"/>
    </row>
    <row r="38" spans="2:26">
      <c r="B38" s="23"/>
      <c r="R38" s="27"/>
      <c r="S38" s="32"/>
      <c r="T38" s="33"/>
      <c r="U38" s="33"/>
      <c r="V38" s="33"/>
      <c r="W38" s="33"/>
      <c r="X38" s="33"/>
      <c r="Y38" s="33"/>
      <c r="Z38" s="37"/>
    </row>
    <row r="39" spans="2:26">
      <c r="B39" s="23"/>
      <c r="R39" s="27"/>
      <c r="S39" s="32"/>
      <c r="T39" s="33"/>
      <c r="U39" s="33"/>
      <c r="V39" s="33"/>
      <c r="W39" s="33"/>
      <c r="X39" s="33"/>
      <c r="Y39" s="33"/>
      <c r="Z39" s="37"/>
    </row>
    <row r="40" spans="2:26">
      <c r="B40" s="23"/>
      <c r="R40" s="27"/>
      <c r="S40" s="32"/>
      <c r="T40" s="33"/>
      <c r="U40" s="33"/>
      <c r="V40" s="33"/>
      <c r="W40" s="33"/>
      <c r="X40" s="33"/>
      <c r="Y40" s="33"/>
      <c r="Z40" s="37"/>
    </row>
    <row r="41" spans="2:26">
      <c r="B41" s="23"/>
      <c r="R41" s="27"/>
      <c r="S41" s="34"/>
      <c r="T41" s="35"/>
      <c r="U41" s="35"/>
      <c r="V41" s="35"/>
      <c r="W41" s="35"/>
      <c r="X41" s="35"/>
      <c r="Y41" s="35"/>
      <c r="Z41" s="38"/>
    </row>
    <row r="42" spans="2:26">
      <c r="B42" s="23"/>
      <c r="R42" s="27"/>
      <c r="S42" s="21"/>
      <c r="T42" s="22"/>
      <c r="U42" s="22"/>
      <c r="V42" s="22"/>
      <c r="W42" s="22"/>
      <c r="X42" s="22"/>
      <c r="Y42" s="22"/>
      <c r="Z42" s="26"/>
    </row>
    <row r="43" spans="2:26">
      <c r="B43" s="23"/>
      <c r="R43" s="27"/>
      <c r="S43" s="23"/>
      <c r="Z43" s="27"/>
    </row>
    <row r="44" spans="2:26">
      <c r="B44" s="23"/>
      <c r="R44" s="27"/>
      <c r="S44" s="23"/>
      <c r="Z44" s="27"/>
    </row>
    <row r="45" spans="2:26">
      <c r="B45" s="23"/>
      <c r="R45" s="27"/>
      <c r="S45" s="23"/>
      <c r="Z45" s="27"/>
    </row>
    <row r="46" spans="2:26">
      <c r="B46" s="23"/>
      <c r="R46" s="27"/>
      <c r="S46" s="23"/>
      <c r="Z46" s="27"/>
    </row>
    <row r="47" spans="2:26">
      <c r="B47" s="23"/>
      <c r="R47" s="27"/>
      <c r="S47" s="23"/>
      <c r="Z47" s="27"/>
    </row>
    <row r="48" spans="2:26">
      <c r="B48" s="23"/>
      <c r="R48" s="27"/>
      <c r="S48" s="23"/>
      <c r="Z48" s="27"/>
    </row>
    <row r="49" spans="2:26">
      <c r="B49" s="23"/>
      <c r="R49" s="27"/>
      <c r="S49" s="23"/>
      <c r="Z49" s="27"/>
    </row>
    <row r="50" spans="2:26">
      <c r="B50" s="23"/>
      <c r="R50" s="27"/>
      <c r="S50" s="23"/>
      <c r="Z50" s="27"/>
    </row>
    <row r="51" spans="2:26">
      <c r="B51" s="23"/>
      <c r="R51" s="27"/>
      <c r="S51" s="23"/>
      <c r="Z51" s="27"/>
    </row>
    <row r="52" spans="2:26">
      <c r="B52" s="23"/>
      <c r="R52" s="27"/>
      <c r="S52" s="23"/>
      <c r="Z52" s="27"/>
    </row>
    <row r="53" spans="2:26">
      <c r="B53" s="23"/>
      <c r="R53" s="27"/>
      <c r="S53" s="23"/>
      <c r="Z53" s="27"/>
    </row>
    <row r="54" spans="2:26">
      <c r="B54" s="23"/>
      <c r="R54" s="27"/>
      <c r="S54" s="23"/>
      <c r="Z54" s="27"/>
    </row>
    <row r="55" spans="2:26">
      <c r="B55" s="23"/>
      <c r="R55" s="27"/>
      <c r="S55" s="23"/>
      <c r="Z55" s="27"/>
    </row>
    <row r="56" spans="2:26"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8"/>
      <c r="S56" s="24"/>
      <c r="T56" s="25"/>
      <c r="U56" s="25"/>
      <c r="V56" s="25"/>
      <c r="W56" s="25"/>
      <c r="X56" s="25"/>
      <c r="Y56" s="25"/>
      <c r="Z56" s="28"/>
    </row>
  </sheetData>
  <mergeCells count="2">
    <mergeCell ref="D16:E16"/>
    <mergeCell ref="D17:E17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ToggleButton1">
          <controlPr defaultSize="0" r:id="rId4">
            <anchor moveWithCells="1">
              <from>
                <xdr:col>0</xdr:col>
                <xdr:colOff>85725</xdr:colOff>
                <xdr:row>7</xdr:row>
                <xdr:rowOff>36195</xdr:rowOff>
              </from>
              <to>
                <xdr:col>2</xdr:col>
                <xdr:colOff>153035</xdr:colOff>
                <xdr:row>8</xdr:row>
                <xdr:rowOff>160655</xdr:rowOff>
              </to>
            </anchor>
          </controlPr>
        </control>
      </mc:Choice>
      <mc:Fallback>
        <control shapeId="1025" r:id="rId3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F56"/>
  <sheetViews>
    <sheetView zoomScale="90" zoomScaleNormal="90" workbookViewId="0">
      <selection activeCell="K16" sqref="K16"/>
    </sheetView>
  </sheetViews>
  <sheetFormatPr defaultColWidth="9" defaultRowHeight="13.5"/>
  <cols>
    <col min="1" max="1" width="12.875" style="6" customWidth="1"/>
    <col min="2" max="16384" width="9" style="6"/>
  </cols>
  <sheetData>
    <row r="1" s="1" customFormat="1" spans="1:2">
      <c r="A1" s="6"/>
      <c r="B1" s="6"/>
    </row>
    <row r="2" s="2" customFormat="1" spans="1:2">
      <c r="A2" s="7"/>
      <c r="B2" s="7"/>
    </row>
    <row r="3" s="2" customFormat="1" spans="1:2">
      <c r="A3" s="7"/>
      <c r="B3" s="7"/>
    </row>
    <row r="4" s="2" customFormat="1" spans="1:2">
      <c r="A4" s="7"/>
      <c r="B4" s="7"/>
    </row>
    <row r="5" s="2" customFormat="1" spans="1:2">
      <c r="A5" s="7"/>
      <c r="B5" s="7"/>
    </row>
    <row r="6" s="2" customFormat="1" spans="1:2">
      <c r="A6" s="7"/>
      <c r="B6" s="7"/>
    </row>
    <row r="7" s="3" customFormat="1" ht="14.25"/>
    <row r="8" s="4" customFormat="1" ht="49.5" spans="1:1">
      <c r="A8" s="8" t="s">
        <v>21</v>
      </c>
    </row>
    <row r="9" s="5" customFormat="1" ht="14.25"/>
    <row r="10" ht="14.25"/>
    <row r="11" s="6" customFormat="1" spans="1:32">
      <c r="A11" s="9" t="s">
        <v>0</v>
      </c>
      <c r="B11" s="10">
        <v>43831</v>
      </c>
      <c r="C11" s="10">
        <v>43832</v>
      </c>
      <c r="D11" s="10">
        <v>43833</v>
      </c>
      <c r="E11" s="10">
        <v>43834</v>
      </c>
      <c r="F11" s="10">
        <v>43835</v>
      </c>
      <c r="G11" s="10">
        <v>43836</v>
      </c>
      <c r="H11" s="10">
        <v>43837</v>
      </c>
      <c r="I11" s="10">
        <v>43838</v>
      </c>
      <c r="J11" s="10">
        <v>43839</v>
      </c>
      <c r="K11" s="10">
        <v>43840</v>
      </c>
      <c r="L11" s="10">
        <v>43841</v>
      </c>
      <c r="M11" s="10">
        <v>43842</v>
      </c>
      <c r="N11" s="10">
        <v>43843</v>
      </c>
      <c r="O11" s="10">
        <v>43844</v>
      </c>
      <c r="P11" s="10">
        <v>43845</v>
      </c>
      <c r="Q11" s="10">
        <v>43846</v>
      </c>
      <c r="R11" s="10">
        <v>43847</v>
      </c>
      <c r="S11" s="10">
        <v>43848</v>
      </c>
      <c r="T11" s="10">
        <v>43849</v>
      </c>
      <c r="U11" s="10">
        <v>43850</v>
      </c>
      <c r="V11" s="10">
        <v>43851</v>
      </c>
      <c r="W11" s="10">
        <v>43852</v>
      </c>
      <c r="X11" s="10">
        <v>43853</v>
      </c>
      <c r="Y11" s="10">
        <v>43854</v>
      </c>
      <c r="Z11" s="10">
        <v>43855</v>
      </c>
      <c r="AA11" s="10">
        <v>43856</v>
      </c>
      <c r="AB11" s="10">
        <v>43857</v>
      </c>
      <c r="AC11" s="10">
        <v>43858</v>
      </c>
      <c r="AD11" s="10">
        <v>43859</v>
      </c>
      <c r="AE11" s="10">
        <v>43860</v>
      </c>
      <c r="AF11" s="10">
        <v>43861</v>
      </c>
    </row>
    <row r="12" s="6" customFormat="1" spans="1:32">
      <c r="A12" s="9" t="s">
        <v>1</v>
      </c>
      <c r="B12" s="11">
        <f ca="1" t="shared" ref="B12:AF12" si="0">RANDBETWEEN(1,100)</f>
        <v>20</v>
      </c>
      <c r="C12" s="11">
        <f ca="1" t="shared" si="0"/>
        <v>5</v>
      </c>
      <c r="D12" s="11">
        <f ca="1" t="shared" si="0"/>
        <v>86</v>
      </c>
      <c r="E12" s="11">
        <f ca="1" t="shared" si="0"/>
        <v>72</v>
      </c>
      <c r="F12" s="11">
        <f ca="1" t="shared" si="0"/>
        <v>73</v>
      </c>
      <c r="G12" s="11">
        <f ca="1" t="shared" si="0"/>
        <v>69</v>
      </c>
      <c r="H12" s="11">
        <f ca="1" t="shared" si="0"/>
        <v>64</v>
      </c>
      <c r="I12" s="11">
        <f ca="1" t="shared" si="0"/>
        <v>16</v>
      </c>
      <c r="J12" s="11">
        <f ca="1" t="shared" si="0"/>
        <v>16</v>
      </c>
      <c r="K12" s="11">
        <f ca="1" t="shared" si="0"/>
        <v>98</v>
      </c>
      <c r="L12" s="11">
        <f ca="1" t="shared" si="0"/>
        <v>90</v>
      </c>
      <c r="M12" s="11">
        <f ca="1" t="shared" si="0"/>
        <v>89</v>
      </c>
      <c r="N12" s="11">
        <f ca="1" t="shared" si="0"/>
        <v>4</v>
      </c>
      <c r="O12" s="11">
        <f ca="1" t="shared" si="0"/>
        <v>28</v>
      </c>
      <c r="P12" s="11">
        <f ca="1" t="shared" si="0"/>
        <v>93</v>
      </c>
      <c r="Q12" s="11">
        <f ca="1" t="shared" si="0"/>
        <v>73</v>
      </c>
      <c r="R12" s="11">
        <f ca="1" t="shared" si="0"/>
        <v>94</v>
      </c>
      <c r="S12" s="11">
        <f ca="1" t="shared" si="0"/>
        <v>16</v>
      </c>
      <c r="T12" s="11">
        <f ca="1" t="shared" si="0"/>
        <v>7</v>
      </c>
      <c r="U12" s="11">
        <f ca="1" t="shared" si="0"/>
        <v>7</v>
      </c>
      <c r="V12" s="11">
        <f ca="1" t="shared" si="0"/>
        <v>42</v>
      </c>
      <c r="W12" s="11">
        <f ca="1" t="shared" si="0"/>
        <v>94</v>
      </c>
      <c r="X12" s="11">
        <f ca="1" t="shared" si="0"/>
        <v>62</v>
      </c>
      <c r="Y12" s="11">
        <f ca="1" t="shared" si="0"/>
        <v>41</v>
      </c>
      <c r="Z12" s="11">
        <f ca="1" t="shared" si="0"/>
        <v>33</v>
      </c>
      <c r="AA12" s="11">
        <f ca="1" t="shared" si="0"/>
        <v>50</v>
      </c>
      <c r="AB12" s="11">
        <f ca="1" t="shared" si="0"/>
        <v>96</v>
      </c>
      <c r="AC12" s="11">
        <f ca="1" t="shared" si="0"/>
        <v>42</v>
      </c>
      <c r="AD12" s="11">
        <f ca="1" t="shared" si="0"/>
        <v>21</v>
      </c>
      <c r="AE12" s="11">
        <f ca="1" t="shared" si="0"/>
        <v>80</v>
      </c>
      <c r="AF12" s="11">
        <f ca="1" t="shared" si="0"/>
        <v>5</v>
      </c>
    </row>
    <row r="13" s="6" customFormat="1" spans="1:32">
      <c r="A13" s="9" t="s">
        <v>2</v>
      </c>
      <c r="B13" s="11">
        <f ca="1">RANDBETWEEN(100,500)</f>
        <v>404</v>
      </c>
      <c r="C13" s="11">
        <f ca="1" t="shared" ref="C13:AF13" si="1">RANDBETWEEN(150,500)</f>
        <v>303</v>
      </c>
      <c r="D13" s="11">
        <f ca="1" t="shared" si="1"/>
        <v>220</v>
      </c>
      <c r="E13" s="11">
        <f ca="1" t="shared" si="1"/>
        <v>448</v>
      </c>
      <c r="F13" s="11">
        <f ca="1" t="shared" si="1"/>
        <v>307</v>
      </c>
      <c r="G13" s="11">
        <f ca="1" t="shared" si="1"/>
        <v>430</v>
      </c>
      <c r="H13" s="11">
        <f ca="1" t="shared" si="1"/>
        <v>451</v>
      </c>
      <c r="I13" s="11">
        <f ca="1" t="shared" si="1"/>
        <v>492</v>
      </c>
      <c r="J13" s="11">
        <f ca="1" t="shared" si="1"/>
        <v>294</v>
      </c>
      <c r="K13" s="11">
        <f ca="1" t="shared" si="1"/>
        <v>458</v>
      </c>
      <c r="L13" s="11">
        <f ca="1" t="shared" si="1"/>
        <v>348</v>
      </c>
      <c r="M13" s="11">
        <f ca="1" t="shared" si="1"/>
        <v>437</v>
      </c>
      <c r="N13" s="11">
        <f ca="1" t="shared" si="1"/>
        <v>171</v>
      </c>
      <c r="O13" s="11">
        <f ca="1" t="shared" si="1"/>
        <v>386</v>
      </c>
      <c r="P13" s="11">
        <f ca="1" t="shared" si="1"/>
        <v>475</v>
      </c>
      <c r="Q13" s="11">
        <f ca="1" t="shared" si="1"/>
        <v>170</v>
      </c>
      <c r="R13" s="11">
        <f ca="1" t="shared" si="1"/>
        <v>463</v>
      </c>
      <c r="S13" s="11">
        <f ca="1" t="shared" si="1"/>
        <v>493</v>
      </c>
      <c r="T13" s="11">
        <f ca="1" t="shared" si="1"/>
        <v>444</v>
      </c>
      <c r="U13" s="11">
        <f ca="1" t="shared" si="1"/>
        <v>423</v>
      </c>
      <c r="V13" s="11">
        <f ca="1" t="shared" si="1"/>
        <v>258</v>
      </c>
      <c r="W13" s="11">
        <f ca="1" t="shared" si="1"/>
        <v>460</v>
      </c>
      <c r="X13" s="11">
        <f ca="1" t="shared" si="1"/>
        <v>371</v>
      </c>
      <c r="Y13" s="11">
        <f ca="1" t="shared" si="1"/>
        <v>316</v>
      </c>
      <c r="Z13" s="11">
        <f ca="1" t="shared" si="1"/>
        <v>296</v>
      </c>
      <c r="AA13" s="11">
        <f ca="1" t="shared" si="1"/>
        <v>201</v>
      </c>
      <c r="AB13" s="11">
        <f ca="1" t="shared" si="1"/>
        <v>324</v>
      </c>
      <c r="AC13" s="11">
        <f ca="1" t="shared" si="1"/>
        <v>255</v>
      </c>
      <c r="AD13" s="11">
        <f ca="1" t="shared" si="1"/>
        <v>152</v>
      </c>
      <c r="AE13" s="11">
        <f ca="1" t="shared" si="1"/>
        <v>177</v>
      </c>
      <c r="AF13" s="11">
        <f ca="1" t="shared" si="1"/>
        <v>150</v>
      </c>
    </row>
    <row r="14" s="6" customFormat="1" spans="1:32">
      <c r="A14" s="9" t="s">
        <v>3</v>
      </c>
      <c r="B14" s="11">
        <f ca="1" t="shared" ref="B14:AF14" si="2">B13*B12</f>
        <v>8080</v>
      </c>
      <c r="C14" s="11">
        <f ca="1" t="shared" si="2"/>
        <v>1515</v>
      </c>
      <c r="D14" s="11">
        <f ca="1" t="shared" si="2"/>
        <v>18920</v>
      </c>
      <c r="E14" s="11">
        <f ca="1" t="shared" si="2"/>
        <v>32256</v>
      </c>
      <c r="F14" s="11">
        <f ca="1" t="shared" si="2"/>
        <v>22411</v>
      </c>
      <c r="G14" s="11">
        <f ca="1" t="shared" si="2"/>
        <v>29670</v>
      </c>
      <c r="H14" s="11">
        <f ca="1" t="shared" si="2"/>
        <v>28864</v>
      </c>
      <c r="I14" s="11">
        <f ca="1" t="shared" si="2"/>
        <v>7872</v>
      </c>
      <c r="J14" s="11">
        <f ca="1" t="shared" si="2"/>
        <v>4704</v>
      </c>
      <c r="K14" s="11">
        <f ca="1" t="shared" si="2"/>
        <v>44884</v>
      </c>
      <c r="L14" s="11">
        <f ca="1" t="shared" si="2"/>
        <v>31320</v>
      </c>
      <c r="M14" s="11">
        <f ca="1" t="shared" si="2"/>
        <v>38893</v>
      </c>
      <c r="N14" s="11">
        <f ca="1" t="shared" si="2"/>
        <v>684</v>
      </c>
      <c r="O14" s="11">
        <f ca="1" t="shared" si="2"/>
        <v>10808</v>
      </c>
      <c r="P14" s="11">
        <f ca="1" t="shared" si="2"/>
        <v>44175</v>
      </c>
      <c r="Q14" s="11">
        <f ca="1" t="shared" si="2"/>
        <v>12410</v>
      </c>
      <c r="R14" s="11">
        <f ca="1" t="shared" si="2"/>
        <v>43522</v>
      </c>
      <c r="S14" s="11">
        <f ca="1" t="shared" si="2"/>
        <v>7888</v>
      </c>
      <c r="T14" s="11">
        <f ca="1" t="shared" si="2"/>
        <v>3108</v>
      </c>
      <c r="U14" s="11">
        <f ca="1" t="shared" si="2"/>
        <v>2961</v>
      </c>
      <c r="V14" s="11">
        <f ca="1" t="shared" si="2"/>
        <v>10836</v>
      </c>
      <c r="W14" s="11">
        <f ca="1" t="shared" si="2"/>
        <v>43240</v>
      </c>
      <c r="X14" s="11">
        <f ca="1" t="shared" si="2"/>
        <v>23002</v>
      </c>
      <c r="Y14" s="11">
        <f ca="1" t="shared" si="2"/>
        <v>12956</v>
      </c>
      <c r="Z14" s="11">
        <f ca="1" t="shared" si="2"/>
        <v>9768</v>
      </c>
      <c r="AA14" s="11">
        <f ca="1" t="shared" si="2"/>
        <v>10050</v>
      </c>
      <c r="AB14" s="11">
        <f ca="1" t="shared" si="2"/>
        <v>31104</v>
      </c>
      <c r="AC14" s="11">
        <f ca="1" t="shared" si="2"/>
        <v>10710</v>
      </c>
      <c r="AD14" s="11">
        <f ca="1" t="shared" si="2"/>
        <v>3192</v>
      </c>
      <c r="AE14" s="11">
        <f ca="1" t="shared" si="2"/>
        <v>14160</v>
      </c>
      <c r="AF14" s="11">
        <f ca="1" t="shared" si="2"/>
        <v>750</v>
      </c>
    </row>
    <row r="16" spans="1:13">
      <c r="A16" s="9" t="s">
        <v>4</v>
      </c>
      <c r="B16" s="9" t="s">
        <v>5</v>
      </c>
      <c r="C16" s="9" t="s">
        <v>6</v>
      </c>
      <c r="D16" s="12" t="s">
        <v>22</v>
      </c>
      <c r="E16" s="13"/>
      <c r="F16" s="14" t="s">
        <v>23</v>
      </c>
      <c r="G16" s="14"/>
      <c r="H16" s="14"/>
      <c r="I16" s="14"/>
      <c r="J16" s="9" t="s">
        <v>8</v>
      </c>
      <c r="K16" s="9" t="s">
        <v>9</v>
      </c>
      <c r="L16" s="9" t="s">
        <v>10</v>
      </c>
      <c r="M16" s="9" t="s">
        <v>11</v>
      </c>
    </row>
    <row r="17" spans="1:13">
      <c r="A17" s="15">
        <f ca="1">INT(AVERAGE(14:14))</f>
        <v>18216</v>
      </c>
      <c r="B17" s="11">
        <f ca="1">MAX(14:14)</f>
        <v>44884</v>
      </c>
      <c r="C17" s="11">
        <f ca="1">MIN(14:14)</f>
        <v>684</v>
      </c>
      <c r="D17" s="16" t="str">
        <f ca="1">_xlfn.CONCAT(SMALL(14:14,1),",",SMALL(14:14,2),",",SMALL(14:14,3))</f>
        <v>684,750,1515</v>
      </c>
      <c r="E17" s="17"/>
      <c r="F17" s="18" t="str">
        <f ca="1">_xlfn.CONCAT(LARGE(14:14,1),",",LARGE(14:14,2),",",LARGE(14:14,3),",",LARGE(14:14,4),",",LARGE(14:14,5))</f>
        <v>44884,44175,43522,43240,38893</v>
      </c>
      <c r="G17" s="18"/>
      <c r="H17" s="18"/>
      <c r="I17" s="18"/>
      <c r="J17" s="11">
        <f ca="1">SUM(B14:K14)</f>
        <v>199176</v>
      </c>
      <c r="K17" s="11">
        <f ca="1">SUM(L14:U14)</f>
        <v>195769</v>
      </c>
      <c r="L17" s="11">
        <f ca="1">SUM(V14:AF14)</f>
        <v>169768</v>
      </c>
      <c r="M17" s="11">
        <f ca="1">SUM(14:14)</f>
        <v>564713</v>
      </c>
    </row>
    <row r="19" spans="1:32">
      <c r="A19" s="9" t="s">
        <v>12</v>
      </c>
      <c r="B19" s="11">
        <f ca="1" t="shared" ref="B19:AF19" si="3">B14</f>
        <v>8080</v>
      </c>
      <c r="C19" s="11">
        <f ca="1" t="shared" si="3"/>
        <v>1515</v>
      </c>
      <c r="D19" s="11">
        <f ca="1" t="shared" si="3"/>
        <v>18920</v>
      </c>
      <c r="E19" s="11">
        <f ca="1" t="shared" si="3"/>
        <v>32256</v>
      </c>
      <c r="F19" s="11">
        <f ca="1" t="shared" si="3"/>
        <v>22411</v>
      </c>
      <c r="G19" s="11">
        <f ca="1" t="shared" si="3"/>
        <v>29670</v>
      </c>
      <c r="H19" s="11">
        <f ca="1" t="shared" si="3"/>
        <v>28864</v>
      </c>
      <c r="I19" s="11">
        <f ca="1" t="shared" si="3"/>
        <v>7872</v>
      </c>
      <c r="J19" s="11">
        <f ca="1" t="shared" si="3"/>
        <v>4704</v>
      </c>
      <c r="K19" s="11">
        <f ca="1" t="shared" si="3"/>
        <v>44884</v>
      </c>
      <c r="L19" s="11">
        <f ca="1" t="shared" si="3"/>
        <v>31320</v>
      </c>
      <c r="M19" s="11">
        <f ca="1" t="shared" si="3"/>
        <v>38893</v>
      </c>
      <c r="N19" s="11">
        <f ca="1" t="shared" si="3"/>
        <v>684</v>
      </c>
      <c r="O19" s="11">
        <f ca="1" t="shared" si="3"/>
        <v>10808</v>
      </c>
      <c r="P19" s="11">
        <f ca="1" t="shared" si="3"/>
        <v>44175</v>
      </c>
      <c r="Q19" s="11">
        <f ca="1" t="shared" si="3"/>
        <v>12410</v>
      </c>
      <c r="R19" s="11">
        <f ca="1" t="shared" si="3"/>
        <v>43522</v>
      </c>
      <c r="S19" s="11">
        <f ca="1" t="shared" si="3"/>
        <v>7888</v>
      </c>
      <c r="T19" s="11">
        <f ca="1" t="shared" si="3"/>
        <v>3108</v>
      </c>
      <c r="U19" s="11">
        <f ca="1" t="shared" si="3"/>
        <v>2961</v>
      </c>
      <c r="V19" s="11">
        <f ca="1" t="shared" si="3"/>
        <v>10836</v>
      </c>
      <c r="W19" s="11">
        <f ca="1" t="shared" si="3"/>
        <v>43240</v>
      </c>
      <c r="X19" s="11">
        <f ca="1" t="shared" si="3"/>
        <v>23002</v>
      </c>
      <c r="Y19" s="11">
        <f ca="1" t="shared" si="3"/>
        <v>12956</v>
      </c>
      <c r="Z19" s="11">
        <f ca="1" t="shared" si="3"/>
        <v>9768</v>
      </c>
      <c r="AA19" s="11">
        <f ca="1" t="shared" si="3"/>
        <v>10050</v>
      </c>
      <c r="AB19" s="11">
        <f ca="1" t="shared" si="3"/>
        <v>31104</v>
      </c>
      <c r="AC19" s="11">
        <f ca="1" t="shared" si="3"/>
        <v>10710</v>
      </c>
      <c r="AD19" s="11">
        <f ca="1" t="shared" si="3"/>
        <v>3192</v>
      </c>
      <c r="AE19" s="11">
        <f ca="1" t="shared" si="3"/>
        <v>14160</v>
      </c>
      <c r="AF19" s="11">
        <f ca="1" t="shared" si="3"/>
        <v>750</v>
      </c>
    </row>
    <row r="20" spans="1:32">
      <c r="A20" s="9" t="s">
        <v>13</v>
      </c>
      <c r="B20" s="15">
        <f ca="1">INT(SUM(14:14)/COUNT(14:14))</f>
        <v>18216</v>
      </c>
      <c r="C20" s="15">
        <f ca="1">INT(SUM(14:14)/COUNT(14:14))</f>
        <v>18216</v>
      </c>
      <c r="D20" s="15">
        <f ca="1">INT(SUM(14:14)/COUNT(14:14))</f>
        <v>18216</v>
      </c>
      <c r="E20" s="15">
        <f ca="1">INT(SUM(14:14)/COUNT(14:14))</f>
        <v>18216</v>
      </c>
      <c r="F20" s="15">
        <f ca="1">INT(SUM(14:14)/COUNT(14:14))</f>
        <v>18216</v>
      </c>
      <c r="G20" s="15">
        <f ca="1">INT(SUM(14:14)/COUNT(14:14))</f>
        <v>18216</v>
      </c>
      <c r="H20" s="15">
        <f ca="1">INT(SUM(14:14)/COUNT(14:14))</f>
        <v>18216</v>
      </c>
      <c r="I20" s="15">
        <f ca="1">INT(SUM(14:14)/COUNT(14:14))</f>
        <v>18216</v>
      </c>
      <c r="J20" s="15">
        <f ca="1">INT(SUM(14:14)/COUNT(14:14))</f>
        <v>18216</v>
      </c>
      <c r="K20" s="15">
        <f ca="1">INT(SUM(14:14)/COUNT(14:14))</f>
        <v>18216</v>
      </c>
      <c r="L20" s="15">
        <f ca="1">INT(SUM(14:14)/COUNT(14:14))</f>
        <v>18216</v>
      </c>
      <c r="M20" s="15">
        <f ca="1">INT(SUM(14:14)/COUNT(14:14))</f>
        <v>18216</v>
      </c>
      <c r="N20" s="15">
        <f ca="1">INT(SUM(14:14)/COUNT(14:14))</f>
        <v>18216</v>
      </c>
      <c r="O20" s="15">
        <f ca="1">INT(SUM(14:14)/COUNT(14:14))</f>
        <v>18216</v>
      </c>
      <c r="P20" s="15">
        <f ca="1">INT(SUM(14:14)/COUNT(14:14))</f>
        <v>18216</v>
      </c>
      <c r="Q20" s="15">
        <f ca="1">INT(SUM(14:14)/COUNT(14:14))</f>
        <v>18216</v>
      </c>
      <c r="R20" s="15">
        <f ca="1">INT(SUM(14:14)/COUNT(14:14))</f>
        <v>18216</v>
      </c>
      <c r="S20" s="15">
        <f ca="1">INT(SUM(14:14)/COUNT(14:14))</f>
        <v>18216</v>
      </c>
      <c r="T20" s="15">
        <f ca="1">INT(SUM(14:14)/COUNT(14:14))</f>
        <v>18216</v>
      </c>
      <c r="U20" s="15">
        <f ca="1">INT(SUM(14:14)/COUNT(14:14))</f>
        <v>18216</v>
      </c>
      <c r="V20" s="15">
        <f ca="1">INT(SUM(14:14)/COUNT(14:14))</f>
        <v>18216</v>
      </c>
      <c r="W20" s="15">
        <f ca="1">INT(SUM(14:14)/COUNT(14:14))</f>
        <v>18216</v>
      </c>
      <c r="X20" s="15">
        <f ca="1">INT(SUM(14:14)/COUNT(14:14))</f>
        <v>18216</v>
      </c>
      <c r="Y20" s="15">
        <f ca="1">INT(SUM(14:14)/COUNT(14:14))</f>
        <v>18216</v>
      </c>
      <c r="Z20" s="15">
        <f ca="1">INT(SUM(14:14)/COUNT(14:14))</f>
        <v>18216</v>
      </c>
      <c r="AA20" s="15">
        <f ca="1">INT(SUM(14:14)/COUNT(14:14))</f>
        <v>18216</v>
      </c>
      <c r="AB20" s="15">
        <f ca="1">INT(SUM(14:14)/COUNT(14:14))</f>
        <v>18216</v>
      </c>
      <c r="AC20" s="15">
        <f ca="1">INT(SUM(14:14)/COUNT(14:14))</f>
        <v>18216</v>
      </c>
      <c r="AD20" s="15">
        <f ca="1">INT(SUM(14:14)/COUNT(14:14))</f>
        <v>18216</v>
      </c>
      <c r="AE20" s="15">
        <f ca="1">INT(SUM(14:14)/COUNT(14:14))</f>
        <v>18216</v>
      </c>
      <c r="AF20" s="15">
        <f ca="1">INT(SUM(14:14)/COUNT(14:14))</f>
        <v>18216</v>
      </c>
    </row>
    <row r="21" spans="1:32">
      <c r="A21" s="9" t="s">
        <v>14</v>
      </c>
      <c r="B21" s="11" t="e">
        <f ca="1" t="shared" ref="B21:AF21" si="4">IF(B19&gt;B20,B19,NA())</f>
        <v>#N/A</v>
      </c>
      <c r="C21" s="11" t="e">
        <f ca="1" t="shared" si="4"/>
        <v>#N/A</v>
      </c>
      <c r="D21" s="11">
        <f ca="1" t="shared" si="4"/>
        <v>18920</v>
      </c>
      <c r="E21" s="11">
        <f ca="1" t="shared" si="4"/>
        <v>32256</v>
      </c>
      <c r="F21" s="11">
        <f ca="1" t="shared" si="4"/>
        <v>22411</v>
      </c>
      <c r="G21" s="11">
        <f ca="1" t="shared" si="4"/>
        <v>29670</v>
      </c>
      <c r="H21" s="11">
        <f ca="1" t="shared" si="4"/>
        <v>28864</v>
      </c>
      <c r="I21" s="11" t="e">
        <f ca="1" t="shared" si="4"/>
        <v>#N/A</v>
      </c>
      <c r="J21" s="11" t="e">
        <f ca="1" t="shared" si="4"/>
        <v>#N/A</v>
      </c>
      <c r="K21" s="11">
        <f ca="1" t="shared" si="4"/>
        <v>44884</v>
      </c>
      <c r="L21" s="11">
        <f ca="1" t="shared" si="4"/>
        <v>31320</v>
      </c>
      <c r="M21" s="11">
        <f ca="1" t="shared" si="4"/>
        <v>38893</v>
      </c>
      <c r="N21" s="11" t="e">
        <f ca="1" t="shared" si="4"/>
        <v>#N/A</v>
      </c>
      <c r="O21" s="11" t="e">
        <f ca="1" t="shared" si="4"/>
        <v>#N/A</v>
      </c>
      <c r="P21" s="11">
        <f ca="1" t="shared" si="4"/>
        <v>44175</v>
      </c>
      <c r="Q21" s="11" t="e">
        <f ca="1" t="shared" si="4"/>
        <v>#N/A</v>
      </c>
      <c r="R21" s="11">
        <f ca="1" t="shared" si="4"/>
        <v>43522</v>
      </c>
      <c r="S21" s="11" t="e">
        <f ca="1" t="shared" si="4"/>
        <v>#N/A</v>
      </c>
      <c r="T21" s="11" t="e">
        <f ca="1" t="shared" si="4"/>
        <v>#N/A</v>
      </c>
      <c r="U21" s="11" t="e">
        <f ca="1" t="shared" si="4"/>
        <v>#N/A</v>
      </c>
      <c r="V21" s="11" t="e">
        <f ca="1" t="shared" si="4"/>
        <v>#N/A</v>
      </c>
      <c r="W21" s="11">
        <f ca="1" t="shared" si="4"/>
        <v>43240</v>
      </c>
      <c r="X21" s="11">
        <f ca="1" t="shared" si="4"/>
        <v>23002</v>
      </c>
      <c r="Y21" s="11" t="e">
        <f ca="1" t="shared" si="4"/>
        <v>#N/A</v>
      </c>
      <c r="Z21" s="11" t="e">
        <f ca="1" t="shared" si="4"/>
        <v>#N/A</v>
      </c>
      <c r="AA21" s="11" t="e">
        <f ca="1" t="shared" si="4"/>
        <v>#N/A</v>
      </c>
      <c r="AB21" s="11">
        <f ca="1" t="shared" si="4"/>
        <v>31104</v>
      </c>
      <c r="AC21" s="11" t="e">
        <f ca="1" t="shared" si="4"/>
        <v>#N/A</v>
      </c>
      <c r="AD21" s="11" t="e">
        <f ca="1" t="shared" si="4"/>
        <v>#N/A</v>
      </c>
      <c r="AE21" s="11" t="e">
        <f ca="1" t="shared" si="4"/>
        <v>#N/A</v>
      </c>
      <c r="AF21" s="11" t="e">
        <f ca="1" t="shared" si="4"/>
        <v>#N/A</v>
      </c>
    </row>
    <row r="22" spans="1:32">
      <c r="A22" s="9" t="s">
        <v>15</v>
      </c>
      <c r="B22" s="11">
        <f ca="1" t="shared" ref="B22:AF22" si="5">IF(B19&lt;B20,B19,NA())</f>
        <v>8080</v>
      </c>
      <c r="C22" s="11">
        <f ca="1" t="shared" si="5"/>
        <v>1515</v>
      </c>
      <c r="D22" s="11" t="e">
        <f ca="1" t="shared" si="5"/>
        <v>#N/A</v>
      </c>
      <c r="E22" s="11" t="e">
        <f ca="1" t="shared" si="5"/>
        <v>#N/A</v>
      </c>
      <c r="F22" s="11" t="e">
        <f ca="1" t="shared" si="5"/>
        <v>#N/A</v>
      </c>
      <c r="G22" s="11" t="e">
        <f ca="1" t="shared" si="5"/>
        <v>#N/A</v>
      </c>
      <c r="H22" s="11" t="e">
        <f ca="1" t="shared" si="5"/>
        <v>#N/A</v>
      </c>
      <c r="I22" s="11">
        <f ca="1" t="shared" si="5"/>
        <v>7872</v>
      </c>
      <c r="J22" s="11">
        <f ca="1" t="shared" si="5"/>
        <v>4704</v>
      </c>
      <c r="K22" s="11" t="e">
        <f ca="1" t="shared" si="5"/>
        <v>#N/A</v>
      </c>
      <c r="L22" s="11" t="e">
        <f ca="1" t="shared" si="5"/>
        <v>#N/A</v>
      </c>
      <c r="M22" s="11" t="e">
        <f ca="1" t="shared" si="5"/>
        <v>#N/A</v>
      </c>
      <c r="N22" s="11">
        <f ca="1" t="shared" si="5"/>
        <v>684</v>
      </c>
      <c r="O22" s="11">
        <f ca="1" t="shared" si="5"/>
        <v>10808</v>
      </c>
      <c r="P22" s="11" t="e">
        <f ca="1" t="shared" si="5"/>
        <v>#N/A</v>
      </c>
      <c r="Q22" s="11">
        <f ca="1" t="shared" si="5"/>
        <v>12410</v>
      </c>
      <c r="R22" s="11" t="e">
        <f ca="1" t="shared" si="5"/>
        <v>#N/A</v>
      </c>
      <c r="S22" s="11">
        <f ca="1" t="shared" si="5"/>
        <v>7888</v>
      </c>
      <c r="T22" s="11">
        <f ca="1" t="shared" si="5"/>
        <v>3108</v>
      </c>
      <c r="U22" s="11">
        <f ca="1" t="shared" si="5"/>
        <v>2961</v>
      </c>
      <c r="V22" s="11">
        <f ca="1" t="shared" si="5"/>
        <v>10836</v>
      </c>
      <c r="W22" s="11" t="e">
        <f ca="1" t="shared" si="5"/>
        <v>#N/A</v>
      </c>
      <c r="X22" s="11" t="e">
        <f ca="1" t="shared" si="5"/>
        <v>#N/A</v>
      </c>
      <c r="Y22" s="11">
        <f ca="1" t="shared" si="5"/>
        <v>12956</v>
      </c>
      <c r="Z22" s="11">
        <f ca="1" t="shared" si="5"/>
        <v>9768</v>
      </c>
      <c r="AA22" s="11">
        <f ca="1" t="shared" si="5"/>
        <v>10050</v>
      </c>
      <c r="AB22" s="11" t="e">
        <f ca="1" t="shared" si="5"/>
        <v>#N/A</v>
      </c>
      <c r="AC22" s="11">
        <f ca="1" t="shared" si="5"/>
        <v>10710</v>
      </c>
      <c r="AD22" s="11">
        <f ca="1" t="shared" si="5"/>
        <v>3192</v>
      </c>
      <c r="AE22" s="11">
        <f ca="1" t="shared" si="5"/>
        <v>14160</v>
      </c>
      <c r="AF22" s="11">
        <f ca="1" t="shared" si="5"/>
        <v>750</v>
      </c>
    </row>
    <row r="24" spans="1:8">
      <c r="A24" s="9"/>
      <c r="B24" s="9" t="s">
        <v>16</v>
      </c>
      <c r="C24" s="9" t="e">
        <f t="shared" ref="C24:G24" si="6">NA()</f>
        <v>#N/A</v>
      </c>
      <c r="D24" s="9" t="s">
        <v>17</v>
      </c>
      <c r="E24" s="9" t="e">
        <f t="shared" si="6"/>
        <v>#N/A</v>
      </c>
      <c r="F24" s="9" t="s">
        <v>18</v>
      </c>
      <c r="G24" s="9" t="e">
        <f t="shared" si="6"/>
        <v>#N/A</v>
      </c>
      <c r="H24" s="9" t="s">
        <v>19</v>
      </c>
    </row>
    <row r="25" spans="1:8">
      <c r="A25" s="9" t="s">
        <v>20</v>
      </c>
      <c r="B25" s="19">
        <f ca="1">SUM(LARGE(14:14,{1,2,3,4,5})/M17*100%)</f>
        <v>0.38021791600335</v>
      </c>
      <c r="C25" s="20" t="e">
        <f>NA()</f>
        <v>#N/A</v>
      </c>
      <c r="D25" s="19">
        <f ca="1">SUM(LARGE(14:14,{1,2,3,4,5,6,7,8,9,10})/M17*100%)</f>
        <v>0.651530954661926</v>
      </c>
      <c r="E25" s="20" t="e">
        <f>NA()</f>
        <v>#N/A</v>
      </c>
      <c r="F25" s="19">
        <f ca="1">SUM(SMALL(14:14,1),SMALL(14:14,2),SMALL(14:14,3),SMALL(14:14,4),SMALL(14:14,5),SMALL(14:14,6),SMALL(14:14,7),SMALL(14:14,8),SMALL(14:14,9),SMALL(14:14,10))/M17*100%</f>
        <v>0.0721676320538043</v>
      </c>
      <c r="G25" s="20" t="e">
        <f>NA()</f>
        <v>#N/A</v>
      </c>
      <c r="H25" s="20">
        <f ca="1">SUM(SMALL(14:14,1),SMALL(14:14,2),SMALL(14:14,3),SMALL(14:14,4),SMALL(14:14,5))/M17*100%</f>
        <v>0.0159691737218729</v>
      </c>
    </row>
    <row r="27" s="6" customFormat="1" spans="2:26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6"/>
      <c r="S27" s="21"/>
      <c r="T27" s="22"/>
      <c r="U27" s="22"/>
      <c r="V27" s="22"/>
      <c r="W27" s="22"/>
      <c r="X27" s="22"/>
      <c r="Y27" s="22"/>
      <c r="Z27" s="26"/>
    </row>
    <row r="28" s="6" customFormat="1" spans="2:26">
      <c r="B28" s="23"/>
      <c r="R28" s="27"/>
      <c r="S28" s="23"/>
      <c r="Z28" s="27"/>
    </row>
    <row r="29" s="6" customFormat="1" spans="2:26">
      <c r="B29" s="23"/>
      <c r="R29" s="27"/>
      <c r="S29" s="23"/>
      <c r="Z29" s="27"/>
    </row>
    <row r="30" s="6" customFormat="1" spans="2:26">
      <c r="B30" s="23"/>
      <c r="R30" s="27"/>
      <c r="S30" s="23"/>
      <c r="Z30" s="27"/>
    </row>
    <row r="31" s="6" customFormat="1" spans="2:26">
      <c r="B31" s="23"/>
      <c r="R31" s="27"/>
      <c r="S31" s="23"/>
      <c r="Z31" s="27"/>
    </row>
    <row r="32" s="6" customFormat="1" spans="2:26">
      <c r="B32" s="23"/>
      <c r="R32" s="27"/>
      <c r="S32" s="23"/>
      <c r="Z32" s="27"/>
    </row>
    <row r="33" s="6" customFormat="1" spans="2:26">
      <c r="B33" s="23"/>
      <c r="R33" s="27"/>
      <c r="S33" s="23"/>
      <c r="Z33" s="27"/>
    </row>
    <row r="34" s="6" customFormat="1" spans="2:26">
      <c r="B34" s="23"/>
      <c r="R34" s="27"/>
      <c r="S34" s="23"/>
      <c r="Z34" s="27"/>
    </row>
    <row r="35" s="6" customFormat="1" spans="2:26">
      <c r="B35" s="23"/>
      <c r="R35" s="27"/>
      <c r="S35" s="23"/>
      <c r="Z35" s="27"/>
    </row>
    <row r="36" s="6" customFormat="1" spans="2:26">
      <c r="B36" s="23"/>
      <c r="R36" s="27"/>
      <c r="S36" s="23"/>
      <c r="Z36" s="27"/>
    </row>
    <row r="37" s="6" customFormat="1" spans="2:26">
      <c r="B37" s="23"/>
      <c r="R37" s="27"/>
      <c r="S37" s="23"/>
      <c r="Z37" s="27"/>
    </row>
    <row r="38" s="6" customFormat="1" spans="2:26">
      <c r="B38" s="23"/>
      <c r="R38" s="27"/>
      <c r="S38" s="23"/>
      <c r="Z38" s="27"/>
    </row>
    <row r="39" s="6" customFormat="1" spans="2:26">
      <c r="B39" s="23"/>
      <c r="R39" s="27"/>
      <c r="S39" s="23"/>
      <c r="Z39" s="27"/>
    </row>
    <row r="40" s="6" customFormat="1" spans="2:26">
      <c r="B40" s="23"/>
      <c r="R40" s="27"/>
      <c r="S40" s="23"/>
      <c r="Z40" s="27"/>
    </row>
    <row r="41" s="6" customFormat="1" spans="2:26">
      <c r="B41" s="23"/>
      <c r="R41" s="27"/>
      <c r="S41" s="24"/>
      <c r="T41" s="25"/>
      <c r="U41" s="25"/>
      <c r="V41" s="25"/>
      <c r="W41" s="25"/>
      <c r="X41" s="25"/>
      <c r="Y41" s="25"/>
      <c r="Z41" s="28"/>
    </row>
    <row r="42" s="6" customFormat="1" spans="2:26">
      <c r="B42" s="23"/>
      <c r="R42" s="27"/>
      <c r="S42" s="21"/>
      <c r="T42" s="22"/>
      <c r="U42" s="22"/>
      <c r="V42" s="22"/>
      <c r="W42" s="22"/>
      <c r="X42" s="22"/>
      <c r="Y42" s="22"/>
      <c r="Z42" s="26"/>
    </row>
    <row r="43" s="6" customFormat="1" spans="2:26">
      <c r="B43" s="23"/>
      <c r="R43" s="27"/>
      <c r="S43" s="23"/>
      <c r="Z43" s="27"/>
    </row>
    <row r="44" s="6" customFormat="1" spans="2:26">
      <c r="B44" s="23"/>
      <c r="R44" s="27"/>
      <c r="S44" s="23"/>
      <c r="Z44" s="27"/>
    </row>
    <row r="45" s="6" customFormat="1" spans="2:26">
      <c r="B45" s="23"/>
      <c r="R45" s="27"/>
      <c r="S45" s="23"/>
      <c r="Z45" s="27"/>
    </row>
    <row r="46" s="6" customFormat="1" spans="2:26">
      <c r="B46" s="23"/>
      <c r="R46" s="27"/>
      <c r="S46" s="23"/>
      <c r="Z46" s="27"/>
    </row>
    <row r="47" s="6" customFormat="1" spans="2:26">
      <c r="B47" s="23"/>
      <c r="R47" s="27"/>
      <c r="S47" s="23"/>
      <c r="Z47" s="27"/>
    </row>
    <row r="48" s="6" customFormat="1" spans="2:26">
      <c r="B48" s="23"/>
      <c r="R48" s="27"/>
      <c r="S48" s="23"/>
      <c r="Z48" s="27"/>
    </row>
    <row r="49" s="6" customFormat="1" spans="2:26">
      <c r="B49" s="23"/>
      <c r="R49" s="27"/>
      <c r="S49" s="23"/>
      <c r="Z49" s="27"/>
    </row>
    <row r="50" s="6" customFormat="1" spans="2:26">
      <c r="B50" s="23"/>
      <c r="R50" s="27"/>
      <c r="S50" s="23"/>
      <c r="Z50" s="27"/>
    </row>
    <row r="51" s="6" customFormat="1" spans="2:26">
      <c r="B51" s="23"/>
      <c r="R51" s="27"/>
      <c r="S51" s="23"/>
      <c r="Z51" s="27"/>
    </row>
    <row r="52" s="6" customFormat="1" spans="2:26">
      <c r="B52" s="23"/>
      <c r="R52" s="27"/>
      <c r="S52" s="23"/>
      <c r="Z52" s="27"/>
    </row>
    <row r="53" s="6" customFormat="1" spans="2:26">
      <c r="B53" s="23"/>
      <c r="R53" s="27"/>
      <c r="S53" s="23"/>
      <c r="Z53" s="27"/>
    </row>
    <row r="54" s="6" customFormat="1" spans="2:26">
      <c r="B54" s="23"/>
      <c r="R54" s="27"/>
      <c r="S54" s="23"/>
      <c r="Z54" s="27"/>
    </row>
    <row r="55" s="6" customFormat="1" spans="2:26">
      <c r="B55" s="23"/>
      <c r="R55" s="27"/>
      <c r="S55" s="23"/>
      <c r="Z55" s="27"/>
    </row>
    <row r="56" s="6" customFormat="1" spans="2:26"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8"/>
      <c r="S56" s="24"/>
      <c r="T56" s="25"/>
      <c r="U56" s="25"/>
      <c r="V56" s="25"/>
      <c r="W56" s="25"/>
      <c r="X56" s="25"/>
      <c r="Y56" s="25"/>
      <c r="Z56" s="28"/>
    </row>
  </sheetData>
  <mergeCells count="4">
    <mergeCell ref="D16:E16"/>
    <mergeCell ref="F16:I16"/>
    <mergeCell ref="D17:E17"/>
    <mergeCell ref="F17:I17"/>
  </mergeCell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J32"/>
  <sheetViews>
    <sheetView workbookViewId="0">
      <selection activeCell="L46" sqref="L46"/>
    </sheetView>
  </sheetViews>
  <sheetFormatPr defaultColWidth="9" defaultRowHeight="13.5"/>
  <sheetData>
    <row r="1" spans="2:3">
      <c r="B1" t="str">
        <f>CHAR(ROW(A1)+64)</f>
        <v>A</v>
      </c>
      <c r="C1" t="str">
        <f t="shared" ref="C1:C26" si="0">CHAR(ROW(B1)+64)</f>
        <v>A</v>
      </c>
    </row>
    <row r="2" spans="2:10">
      <c r="B2" t="str">
        <f t="shared" ref="B2:B52" si="1">CHAR(ROW(A2)+64)</f>
        <v>B</v>
      </c>
      <c r="C2" t="str">
        <f t="shared" si="0"/>
        <v>B</v>
      </c>
      <c r="E2" t="str">
        <f>_xlfn.CONCAT(B2,10)</f>
        <v>B10</v>
      </c>
      <c r="F2" t="str">
        <f>_xlfn.CONCAT("=(",E2,"+A8)","/F8")</f>
        <v>=(B10+A8)/F8</v>
      </c>
      <c r="I2">
        <v>0</v>
      </c>
      <c r="J2">
        <v>0</v>
      </c>
    </row>
    <row r="3" spans="2:10">
      <c r="B3" t="str">
        <f t="shared" si="1"/>
        <v>C</v>
      </c>
      <c r="C3" t="str">
        <f t="shared" si="0"/>
        <v>C</v>
      </c>
      <c r="E3" t="str">
        <f t="shared" ref="E3:E26" si="2">_xlfn.CONCAT(B3,10)</f>
        <v>C10</v>
      </c>
      <c r="F3" t="str">
        <f t="shared" ref="F3:F32" si="3">_xlfn.CONCAT("=(",E3,"+A8)","/F8")</f>
        <v>=(C10+A8)/F8</v>
      </c>
      <c r="I3">
        <v>20</v>
      </c>
      <c r="J3">
        <v>0</v>
      </c>
    </row>
    <row r="4" spans="2:10">
      <c r="B4" t="str">
        <f t="shared" si="1"/>
        <v>D</v>
      </c>
      <c r="C4" t="str">
        <f t="shared" si="0"/>
        <v>D</v>
      </c>
      <c r="E4" t="str">
        <f t="shared" si="2"/>
        <v>D10</v>
      </c>
      <c r="F4" t="str">
        <f t="shared" si="3"/>
        <v>=(D10+A8)/F8</v>
      </c>
      <c r="I4">
        <v>40</v>
      </c>
      <c r="J4">
        <v>0</v>
      </c>
    </row>
    <row r="5" spans="2:10">
      <c r="B5" t="str">
        <f t="shared" si="1"/>
        <v>E</v>
      </c>
      <c r="C5" t="str">
        <f t="shared" si="0"/>
        <v>E</v>
      </c>
      <c r="E5" t="str">
        <f t="shared" si="2"/>
        <v>E10</v>
      </c>
      <c r="F5" t="str">
        <f t="shared" si="3"/>
        <v>=(E10+A8)/F8</v>
      </c>
      <c r="I5">
        <v>60</v>
      </c>
      <c r="J5">
        <v>0</v>
      </c>
    </row>
    <row r="6" spans="2:10">
      <c r="B6" t="str">
        <f t="shared" si="1"/>
        <v>F</v>
      </c>
      <c r="C6" t="str">
        <f t="shared" si="0"/>
        <v>F</v>
      </c>
      <c r="E6" t="str">
        <f t="shared" si="2"/>
        <v>F10</v>
      </c>
      <c r="F6" t="str">
        <f t="shared" si="3"/>
        <v>=(F10+A8)/F8</v>
      </c>
      <c r="I6">
        <v>80</v>
      </c>
      <c r="J6">
        <v>0</v>
      </c>
    </row>
    <row r="7" spans="2:10">
      <c r="B7" t="str">
        <f t="shared" si="1"/>
        <v>G</v>
      </c>
      <c r="C7" t="str">
        <f t="shared" si="0"/>
        <v>G</v>
      </c>
      <c r="E7" t="str">
        <f t="shared" si="2"/>
        <v>G10</v>
      </c>
      <c r="F7" t="str">
        <f t="shared" si="3"/>
        <v>=(G10+A8)/F8</v>
      </c>
      <c r="I7">
        <v>0</v>
      </c>
      <c r="J7">
        <v>0</v>
      </c>
    </row>
    <row r="8" spans="2:10">
      <c r="B8" t="str">
        <f t="shared" si="1"/>
        <v>H</v>
      </c>
      <c r="C8" t="str">
        <f t="shared" si="0"/>
        <v>H</v>
      </c>
      <c r="E8" t="str">
        <f t="shared" si="2"/>
        <v>H10</v>
      </c>
      <c r="F8" t="str">
        <f t="shared" si="3"/>
        <v>=(H10+A8)/F8</v>
      </c>
      <c r="I8">
        <v>20</v>
      </c>
      <c r="J8">
        <v>0</v>
      </c>
    </row>
    <row r="9" spans="2:10">
      <c r="B9" t="str">
        <f t="shared" si="1"/>
        <v>I</v>
      </c>
      <c r="C9" t="str">
        <f t="shared" si="0"/>
        <v>I</v>
      </c>
      <c r="E9" t="str">
        <f t="shared" si="2"/>
        <v>I10</v>
      </c>
      <c r="F9" t="str">
        <f t="shared" si="3"/>
        <v>=(I10+A8)/F8</v>
      </c>
      <c r="I9">
        <v>40</v>
      </c>
      <c r="J9">
        <v>0</v>
      </c>
    </row>
    <row r="10" spans="2:10">
      <c r="B10" t="str">
        <f t="shared" si="1"/>
        <v>J</v>
      </c>
      <c r="C10" t="str">
        <f t="shared" si="0"/>
        <v>J</v>
      </c>
      <c r="E10" t="str">
        <f t="shared" si="2"/>
        <v>J10</v>
      </c>
      <c r="F10" t="str">
        <f t="shared" si="3"/>
        <v>=(J10+A8)/F8</v>
      </c>
      <c r="I10">
        <v>60</v>
      </c>
      <c r="J10">
        <v>0</v>
      </c>
    </row>
    <row r="11" spans="2:10">
      <c r="B11" t="str">
        <f t="shared" si="1"/>
        <v>K</v>
      </c>
      <c r="C11" t="str">
        <f t="shared" si="0"/>
        <v>K</v>
      </c>
      <c r="E11" t="str">
        <f t="shared" si="2"/>
        <v>K10</v>
      </c>
      <c r="F11" t="str">
        <f t="shared" si="3"/>
        <v>=(K10+A8)/F8</v>
      </c>
      <c r="I11">
        <v>80</v>
      </c>
      <c r="J11">
        <v>0</v>
      </c>
    </row>
    <row r="12" spans="2:10">
      <c r="B12" t="str">
        <f t="shared" si="1"/>
        <v>L</v>
      </c>
      <c r="C12" t="str">
        <f t="shared" si="0"/>
        <v>L</v>
      </c>
      <c r="E12" t="str">
        <f t="shared" si="2"/>
        <v>L10</v>
      </c>
      <c r="F12" t="str">
        <f t="shared" si="3"/>
        <v>=(L10+A8)/F8</v>
      </c>
      <c r="I12">
        <v>0</v>
      </c>
      <c r="J12">
        <v>0</v>
      </c>
    </row>
    <row r="13" spans="2:10">
      <c r="B13" t="str">
        <f t="shared" si="1"/>
        <v>M</v>
      </c>
      <c r="C13" t="str">
        <f t="shared" si="0"/>
        <v>M</v>
      </c>
      <c r="E13" t="str">
        <f t="shared" si="2"/>
        <v>M10</v>
      </c>
      <c r="F13" t="str">
        <f t="shared" si="3"/>
        <v>=(M10+A8)/F8</v>
      </c>
      <c r="I13">
        <v>20</v>
      </c>
      <c r="J13">
        <v>0</v>
      </c>
    </row>
    <row r="14" spans="2:10">
      <c r="B14" t="str">
        <f t="shared" si="1"/>
        <v>N</v>
      </c>
      <c r="C14" t="str">
        <f t="shared" si="0"/>
        <v>N</v>
      </c>
      <c r="E14" t="str">
        <f t="shared" si="2"/>
        <v>N10</v>
      </c>
      <c r="F14" t="str">
        <f t="shared" si="3"/>
        <v>=(N10+A8)/F8</v>
      </c>
      <c r="I14">
        <v>40</v>
      </c>
      <c r="J14">
        <v>0</v>
      </c>
    </row>
    <row r="15" spans="2:10">
      <c r="B15" t="str">
        <f t="shared" si="1"/>
        <v>O</v>
      </c>
      <c r="C15" t="str">
        <f t="shared" si="0"/>
        <v>O</v>
      </c>
      <c r="E15" t="str">
        <f t="shared" si="2"/>
        <v>O10</v>
      </c>
      <c r="F15" t="str">
        <f t="shared" si="3"/>
        <v>=(O10+A8)/F8</v>
      </c>
      <c r="I15">
        <v>60</v>
      </c>
      <c r="J15">
        <v>0</v>
      </c>
    </row>
    <row r="16" spans="2:10">
      <c r="B16" t="str">
        <f t="shared" si="1"/>
        <v>P</v>
      </c>
      <c r="C16" t="str">
        <f t="shared" si="0"/>
        <v>P</v>
      </c>
      <c r="E16" t="str">
        <f t="shared" si="2"/>
        <v>P10</v>
      </c>
      <c r="F16" t="str">
        <f t="shared" si="3"/>
        <v>=(P10+A8)/F8</v>
      </c>
      <c r="I16">
        <v>80</v>
      </c>
      <c r="J16">
        <v>0</v>
      </c>
    </row>
    <row r="17" spans="2:10">
      <c r="B17" t="str">
        <f t="shared" si="1"/>
        <v>Q</v>
      </c>
      <c r="C17" t="str">
        <f t="shared" si="0"/>
        <v>Q</v>
      </c>
      <c r="E17" t="str">
        <f t="shared" si="2"/>
        <v>Q10</v>
      </c>
      <c r="F17" t="str">
        <f t="shared" si="3"/>
        <v>=(Q10+A8)/F8</v>
      </c>
      <c r="I17">
        <v>0</v>
      </c>
      <c r="J17">
        <v>0</v>
      </c>
    </row>
    <row r="18" spans="2:10">
      <c r="B18" t="str">
        <f t="shared" si="1"/>
        <v>R</v>
      </c>
      <c r="C18" t="str">
        <f t="shared" si="0"/>
        <v>R</v>
      </c>
      <c r="E18" t="str">
        <f t="shared" si="2"/>
        <v>R10</v>
      </c>
      <c r="F18" t="str">
        <f t="shared" si="3"/>
        <v>=(R10+A8)/F8</v>
      </c>
      <c r="I18">
        <v>20</v>
      </c>
      <c r="J18">
        <v>0</v>
      </c>
    </row>
    <row r="19" spans="2:10">
      <c r="B19" t="str">
        <f t="shared" si="1"/>
        <v>S</v>
      </c>
      <c r="C19" t="str">
        <f t="shared" si="0"/>
        <v>S</v>
      </c>
      <c r="E19" t="str">
        <f t="shared" si="2"/>
        <v>S10</v>
      </c>
      <c r="F19" t="str">
        <f t="shared" si="3"/>
        <v>=(S10+A8)/F8</v>
      </c>
      <c r="I19">
        <v>40</v>
      </c>
      <c r="J19">
        <v>0</v>
      </c>
    </row>
    <row r="20" spans="2:10">
      <c r="B20" t="str">
        <f t="shared" si="1"/>
        <v>T</v>
      </c>
      <c r="C20" t="str">
        <f t="shared" si="0"/>
        <v>T</v>
      </c>
      <c r="E20" t="str">
        <f t="shared" si="2"/>
        <v>T10</v>
      </c>
      <c r="F20" t="str">
        <f t="shared" si="3"/>
        <v>=(T10+A8)/F8</v>
      </c>
      <c r="I20">
        <v>60</v>
      </c>
      <c r="J20">
        <v>0</v>
      </c>
    </row>
    <row r="21" spans="2:10">
      <c r="B21" t="str">
        <f t="shared" si="1"/>
        <v>U</v>
      </c>
      <c r="C21" t="str">
        <f t="shared" si="0"/>
        <v>U</v>
      </c>
      <c r="E21" t="str">
        <f t="shared" si="2"/>
        <v>U10</v>
      </c>
      <c r="F21" t="str">
        <f t="shared" si="3"/>
        <v>=(U10+A8)/F8</v>
      </c>
      <c r="I21">
        <v>80</v>
      </c>
      <c r="J21">
        <v>0</v>
      </c>
    </row>
    <row r="22" spans="2:6">
      <c r="B22" t="str">
        <f t="shared" si="1"/>
        <v>V</v>
      </c>
      <c r="C22" t="str">
        <f t="shared" si="0"/>
        <v>V</v>
      </c>
      <c r="E22" t="str">
        <f t="shared" si="2"/>
        <v>V10</v>
      </c>
      <c r="F22" t="str">
        <f t="shared" si="3"/>
        <v>=(V10+A8)/F8</v>
      </c>
    </row>
    <row r="23" spans="2:6">
      <c r="B23" t="str">
        <f t="shared" si="1"/>
        <v>W</v>
      </c>
      <c r="C23" t="str">
        <f t="shared" si="0"/>
        <v>W</v>
      </c>
      <c r="E23" t="str">
        <f t="shared" si="2"/>
        <v>W10</v>
      </c>
      <c r="F23" t="str">
        <f t="shared" si="3"/>
        <v>=(W10+A8)/F8</v>
      </c>
    </row>
    <row r="24" spans="2:6">
      <c r="B24" t="str">
        <f t="shared" si="1"/>
        <v>X</v>
      </c>
      <c r="C24" t="str">
        <f t="shared" si="0"/>
        <v>X</v>
      </c>
      <c r="E24" t="str">
        <f t="shared" si="2"/>
        <v>X10</v>
      </c>
      <c r="F24" t="str">
        <f t="shared" si="3"/>
        <v>=(X10+A8)/F8</v>
      </c>
    </row>
    <row r="25" spans="2:6">
      <c r="B25" t="str">
        <f t="shared" si="1"/>
        <v>Y</v>
      </c>
      <c r="C25" t="str">
        <f t="shared" si="0"/>
        <v>Y</v>
      </c>
      <c r="E25" t="str">
        <f t="shared" si="2"/>
        <v>Y10</v>
      </c>
      <c r="F25" t="str">
        <f t="shared" si="3"/>
        <v>=(Y10+A8)/F8</v>
      </c>
    </row>
    <row r="26" spans="2:6">
      <c r="B26" t="str">
        <f t="shared" si="1"/>
        <v>Z</v>
      </c>
      <c r="C26" t="str">
        <f t="shared" si="0"/>
        <v>Z</v>
      </c>
      <c r="E26" t="str">
        <f t="shared" si="2"/>
        <v>Z10</v>
      </c>
      <c r="F26" t="str">
        <f t="shared" si="3"/>
        <v>=(Z10+A8)/F8</v>
      </c>
    </row>
    <row r="27" spans="5:6">
      <c r="E27" t="str">
        <f>_xlfn.CONCAT(B1,C1,10)</f>
        <v>AA10</v>
      </c>
      <c r="F27" t="str">
        <f t="shared" si="3"/>
        <v>=(AA10+A8)/F8</v>
      </c>
    </row>
    <row r="28" spans="5:6">
      <c r="E28" t="str">
        <f>_xlfn.CONCAT(B1,C2,10)</f>
        <v>AB10</v>
      </c>
      <c r="F28" t="str">
        <f t="shared" si="3"/>
        <v>=(AB10+A8)/F8</v>
      </c>
    </row>
    <row r="29" spans="5:6">
      <c r="E29" t="str">
        <f>_xlfn.CONCAT(B1,C3,10)</f>
        <v>AC10</v>
      </c>
      <c r="F29" t="str">
        <f t="shared" si="3"/>
        <v>=(AC10+A8)/F8</v>
      </c>
    </row>
    <row r="30" spans="5:6">
      <c r="E30" t="str">
        <f>_xlfn.CONCAT(B1,C4,10)</f>
        <v>AD10</v>
      </c>
      <c r="F30" t="str">
        <f t="shared" si="3"/>
        <v>=(AD10+A8)/F8</v>
      </c>
    </row>
    <row r="31" spans="5:6">
      <c r="E31" t="str">
        <f>_xlfn.CONCAT(B1,C5,10)</f>
        <v>AE10</v>
      </c>
      <c r="F31" t="str">
        <f t="shared" si="3"/>
        <v>=(AE10+A8)/F8</v>
      </c>
    </row>
    <row r="32" spans="5:6">
      <c r="E32" t="str">
        <f>_xlfn.CONCAT(B1,C6,10)</f>
        <v>AF10</v>
      </c>
      <c r="F32" t="str">
        <f t="shared" si="3"/>
        <v>=(AF10+A8)/F8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首屏</vt:lpstr>
      <vt:lpstr>趋势折线图演示</vt:lpstr>
      <vt:lpstr>趋势折线图制作</vt:lpstr>
      <vt:lpstr>数据备用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tutu</dc:creator>
  <cp:lastModifiedBy>小兔</cp:lastModifiedBy>
  <dcterms:created xsi:type="dcterms:W3CDTF">2020-01-01T06:58:00Z</dcterms:created>
  <dcterms:modified xsi:type="dcterms:W3CDTF">2020-01-01T15:46:33Z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