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theme/themeOverride1.xml" ContentType="application/vnd.openxmlformats-officedocument.themeOverride+xml"/>
  <Override PartName="/xl/theme/themeOverride2.xml" ContentType="application/vnd.openxmlformats-officedocument.themeOverrid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4340" activeTab="2"/>
  </bookViews>
  <sheets>
    <sheet name="首屏" sheetId="3" r:id="rId1"/>
    <sheet name="工作表条件查询演示" sheetId="1" r:id="rId2"/>
    <sheet name="工作表条件查询制作" sheetId="6" r:id="rId3"/>
    <sheet name="数据备用" sheetId="2" r:id="rId4"/>
    <sheet name="百家姓" sheetId="5" r:id="rId5"/>
    <sheet name="KSO_Salary_Config" sheetId="8" state="veryHidden" r:id="rId6"/>
  </sheets>
  <externalReferences>
    <externalReference r:id="rId7"/>
  </externalReferences>
  <definedNames>
    <definedName name="一级菜单A">[1]二级数据!$A$2:$A$3</definedName>
    <definedName name="一级菜单B">[1]二级数据!$B$2:$B$3</definedName>
    <definedName name="一级菜单C">[1]二级数据!$C$2:$C$3</definedName>
    <definedName name="二级菜单A1">[1]三级数据!$A$2:$A$4</definedName>
    <definedName name="二级菜单A2">[1]三级数据!$B$2:$B$4</definedName>
    <definedName name="二级菜单B1">[1]三级数据!$C$2:$C$4</definedName>
    <definedName name="二级菜单B2">[1]三级数据!$D$2:$D$4</definedName>
    <definedName name="二级菜单C1">[1]三级数据!$E$2:$E$4</definedName>
    <definedName name="二级菜单C2">[1]三级数据!$F$2:$F$4</definedName>
    <definedName name="二级菜单D1">[1]三级数据!$G$2:$G$4</definedName>
    <definedName name="二级菜单D2">[1]三级数据!$H$2:$H$4</definedName>
    <definedName name="一级菜单D">[1]二级数据!$D$2:$D$3</definedName>
    <definedName name="三级菜单A11">[1]四级数据!$B$1:$C$1</definedName>
    <definedName name="三级菜单A12">[1]四级数据!$B$2:$C$2</definedName>
    <definedName name="三级菜单A13">[1]四级数据!$B$3:$C$3</definedName>
    <definedName name="三级菜单A21">[1]四级数据!$B$4:$C$4</definedName>
    <definedName name="三级菜单A22">[1]四级数据!$B$5:$C$5</definedName>
    <definedName name="三级菜单A23">[1]四级数据!$B$6:$C$6</definedName>
    <definedName name="三级菜单B11">[1]四级数据!$B$7:$C$7</definedName>
    <definedName name="三级菜单B12">[1]四级数据!$B$8:$C$8</definedName>
    <definedName name="三级菜单B13">[1]四级数据!$B$9:$C$9</definedName>
    <definedName name="三级菜单B21">[1]四级数据!$B$10:$C$10</definedName>
    <definedName name="三级菜单B22">[1]四级数据!$B$11:$C$11</definedName>
    <definedName name="三级菜单B23">[1]四级数据!$B$12:$C$12</definedName>
    <definedName name="三级菜单C11">[1]四级数据!$B$13:$C$13</definedName>
    <definedName name="三级菜单C12">[1]四级数据!$B$14:$C$14</definedName>
    <definedName name="三级菜单C13">[1]四级数据!$B$15:$C$15</definedName>
    <definedName name="三级菜单C21">[1]四级数据!$B$16:$C$16</definedName>
    <definedName name="三级菜单C22">[1]四级数据!$B$17:$C$17</definedName>
    <definedName name="三级菜单C23">[1]四级数据!$B$18:$C$18</definedName>
    <definedName name="三级菜单D11">[1]四级数据!$B$19:$C$19</definedName>
    <definedName name="三级菜单D12">[1]四级数据!$B$20:$C$20</definedName>
    <definedName name="三级菜单D13">[1]四级数据!$B$21:$C$21</definedName>
    <definedName name="三级菜单D21">[1]四级数据!$B$22:$C$22</definedName>
    <definedName name="三级菜单D22">[1]四级数据!$B$23:$C$23</definedName>
    <definedName name="三级菜单D23">[1]四级数据!$B$24:$C$24</definedName>
  </definedNames>
  <calcPr calcId="144525"/>
</workbook>
</file>

<file path=xl/sharedStrings.xml><?xml version="1.0" encoding="utf-8"?>
<sst xmlns="http://schemas.openxmlformats.org/spreadsheetml/2006/main" count="1113" uniqueCount="729">
  <si>
    <t>查询条件：</t>
  </si>
  <si>
    <t>姓名</t>
  </si>
  <si>
    <t>欧锶源</t>
  </si>
  <si>
    <t>日期</t>
  </si>
  <si>
    <t>数值</t>
  </si>
  <si>
    <t>车千晖</t>
  </si>
  <si>
    <t>聂舒潇</t>
  </si>
  <si>
    <t>甄川文</t>
  </si>
  <si>
    <t>家川文</t>
  </si>
  <si>
    <t>柴镇发</t>
  </si>
  <si>
    <t>宫宣含</t>
  </si>
  <si>
    <t>叶千晖</t>
  </si>
  <si>
    <t>黎千晖</t>
  </si>
  <si>
    <t>董千雨</t>
  </si>
  <si>
    <t>巫镜香</t>
  </si>
  <si>
    <t>盛铸宏</t>
  </si>
  <si>
    <t>公宗华</t>
  </si>
  <si>
    <t>滕齐瀛</t>
  </si>
  <si>
    <t>蓬镕彪</t>
  </si>
  <si>
    <t>呼铄涛</t>
  </si>
  <si>
    <t>总价</t>
  </si>
  <si>
    <t>均值</t>
  </si>
  <si>
    <t>最小值</t>
  </si>
  <si>
    <t>最大值</t>
  </si>
  <si>
    <t>列表中第3个小值</t>
  </si>
  <si>
    <t>前10日</t>
  </si>
  <si>
    <t>中10日</t>
  </si>
  <si>
    <t>后10日</t>
  </si>
  <si>
    <t>总价值</t>
  </si>
  <si>
    <t>计算数据量</t>
  </si>
  <si>
    <t>辅助线</t>
  </si>
  <si>
    <t>高于平均值</t>
  </si>
  <si>
    <t>低于平均值</t>
  </si>
  <si>
    <t>前5名</t>
  </si>
  <si>
    <t>前10名</t>
  </si>
  <si>
    <t>后10名</t>
  </si>
  <si>
    <t>后5名</t>
  </si>
  <si>
    <t>数据总量占比</t>
  </si>
  <si>
    <t>一月</t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</si>
  <si>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</si>
  <si>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</si>
  <si>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</si>
  <si>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</si>
  <si>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</si>
  <si>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</si>
  <si>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</si>
  <si>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</si>
  <si>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</si>
  <si>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</si>
  <si>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</si>
  <si>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单人记录</t>
  </si>
  <si>
    <t>数量</t>
  </si>
  <si>
    <t>行查询</t>
  </si>
  <si>
    <t>匹配首位查询条件，确认行坐标</t>
  </si>
  <si>
    <t>列查询</t>
  </si>
  <si>
    <t>匹配次查询条件确认列坐标</t>
  </si>
  <si>
    <t>FIINISHED</t>
  </si>
  <si>
    <t>单人数据</t>
  </si>
  <si>
    <t>INDEX(B78:M93,MATCH(A96,A78:A93,0),MATCH(A97,B77:M77,0))</t>
  </si>
  <si>
    <t>IF(MAX(B97:B108)=B97,B97,NA())</t>
  </si>
  <si>
    <t>INDEX(B78:M93,MATCH(A96,A78:A93,0),MATCH(A98,B77:M77,0))</t>
  </si>
  <si>
    <t>IF(MAX(B97:B108)=B</t>
  </si>
  <si>
    <t>,B</t>
  </si>
  <si>
    <t>,NA())</t>
  </si>
  <si>
    <t>INDEX(B78:M93,MATCH(A96,A78:A93,0),MATCH(</t>
  </si>
  <si>
    <t>A99</t>
  </si>
  <si>
    <t>,B77:M77,0))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</si>
  <si>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</si>
  <si>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</si>
  <si>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</si>
  <si>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</si>
  <si>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</si>
  <si>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</si>
  <si>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</si>
  <si>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</si>
  <si>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</si>
  <si>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IF(MIN(B97:B108)=B</t>
  </si>
  <si>
    <t>INDEX(B76:M91,MATCH(D93,A76:A91,0),MATCH(D94,B75:M75,0))</t>
  </si>
  <si>
    <t>INDEX(B76:M91,MATCH(D93,A76:A91,0),MATCH(</t>
  </si>
  <si>
    <t>D94</t>
  </si>
  <si>
    <t>,B75:M75,0))</t>
  </si>
  <si>
    <t>D95</t>
  </si>
  <si>
    <t>D96</t>
  </si>
  <si>
    <t>D97</t>
  </si>
  <si>
    <t>D98</t>
  </si>
  <si>
    <t>D99</t>
  </si>
  <si>
    <t>D100</t>
  </si>
  <si>
    <t>D101</t>
  </si>
  <si>
    <t>D102</t>
  </si>
  <si>
    <t>D103</t>
  </si>
  <si>
    <t>D104</t>
  </si>
  <si>
    <t>D105</t>
  </si>
  <si>
    <t>IF(MAX(E94:E105)=E94,E94,NA())</t>
  </si>
  <si>
    <t>IF(MAX(E94:E105)=E</t>
  </si>
  <si>
    <t>,E</t>
  </si>
  <si>
    <t>IF(MIN(E94:E105)=E94,E94,NA())</t>
  </si>
  <si>
    <t>IF(MIN(E94:E105)=E</t>
  </si>
  <si>
    <t>百家姓</t>
  </si>
  <si>
    <t>赵</t>
  </si>
  <si>
    <t>崇鹏</t>
  </si>
  <si>
    <t>#</t>
  </si>
  <si>
    <t>钱</t>
  </si>
  <si>
    <t>钦浩</t>
  </si>
  <si>
    <t>孙</t>
  </si>
  <si>
    <t>春霄</t>
  </si>
  <si>
    <t>李</t>
  </si>
  <si>
    <t>成汐</t>
  </si>
  <si>
    <t>周</t>
  </si>
  <si>
    <t>千雨</t>
  </si>
  <si>
    <t>吴</t>
  </si>
  <si>
    <t>煦华</t>
  </si>
  <si>
    <t>郑</t>
  </si>
  <si>
    <t>小贝</t>
  </si>
  <si>
    <t>王</t>
  </si>
  <si>
    <t>镕彪</t>
  </si>
  <si>
    <t>冯</t>
  </si>
  <si>
    <t>川文</t>
  </si>
  <si>
    <t>陈</t>
  </si>
  <si>
    <t>世白</t>
  </si>
  <si>
    <t>褚</t>
  </si>
  <si>
    <t>斯兵</t>
  </si>
  <si>
    <t>连#N/A</t>
  </si>
  <si>
    <t>卫</t>
  </si>
  <si>
    <t>宗好</t>
  </si>
  <si>
    <t>蒋</t>
  </si>
  <si>
    <t>峙熙</t>
  </si>
  <si>
    <t>沈</t>
  </si>
  <si>
    <t>峻熙</t>
  </si>
  <si>
    <t>生#N/A</t>
  </si>
  <si>
    <t>韩</t>
  </si>
  <si>
    <t>士淋</t>
  </si>
  <si>
    <t>杨</t>
  </si>
  <si>
    <t>绪亨</t>
  </si>
  <si>
    <t>关#N/A</t>
  </si>
  <si>
    <t>朱</t>
  </si>
  <si>
    <t>钟明</t>
  </si>
  <si>
    <t>秦</t>
  </si>
  <si>
    <t>镕华</t>
  </si>
  <si>
    <t>尤</t>
  </si>
  <si>
    <t>千晖</t>
  </si>
  <si>
    <t>许</t>
  </si>
  <si>
    <t>青峰</t>
  </si>
  <si>
    <t>乐#N/A</t>
  </si>
  <si>
    <t>何</t>
  </si>
  <si>
    <t>瑞淮</t>
  </si>
  <si>
    <t>西千晖</t>
  </si>
  <si>
    <t>吕</t>
  </si>
  <si>
    <t>金甫</t>
  </si>
  <si>
    <t>令州涵</t>
  </si>
  <si>
    <t>施</t>
  </si>
  <si>
    <t>镇发</t>
  </si>
  <si>
    <t>云新波</t>
  </si>
  <si>
    <t>张</t>
  </si>
  <si>
    <t>锶源</t>
  </si>
  <si>
    <t>松镕彪</t>
  </si>
  <si>
    <t>孔</t>
  </si>
  <si>
    <t>新波</t>
  </si>
  <si>
    <t>鲍#N/A</t>
  </si>
  <si>
    <t>曹</t>
  </si>
  <si>
    <t>紫雨</t>
  </si>
  <si>
    <t>谷斯兵</t>
  </si>
  <si>
    <t>严</t>
  </si>
  <si>
    <t>镜香</t>
  </si>
  <si>
    <t>盛青峰</t>
  </si>
  <si>
    <t>华</t>
  </si>
  <si>
    <t>昌滨</t>
  </si>
  <si>
    <t>詹青峰</t>
  </si>
  <si>
    <t>金</t>
  </si>
  <si>
    <t>宸清</t>
  </si>
  <si>
    <t>江心伯</t>
  </si>
  <si>
    <t>魏</t>
  </si>
  <si>
    <t>承武</t>
  </si>
  <si>
    <t>娄青峰</t>
  </si>
  <si>
    <t>陶</t>
  </si>
  <si>
    <t>诗文</t>
  </si>
  <si>
    <t>韶宗好</t>
  </si>
  <si>
    <t>姜</t>
  </si>
  <si>
    <t>铄涛</t>
  </si>
  <si>
    <t>易承武</t>
  </si>
  <si>
    <t>戚</t>
  </si>
  <si>
    <t>锌涵</t>
  </si>
  <si>
    <t>秋齐瀛</t>
  </si>
  <si>
    <t>谢</t>
  </si>
  <si>
    <t>再墨</t>
  </si>
  <si>
    <t>董宸清</t>
  </si>
  <si>
    <t>邹</t>
  </si>
  <si>
    <t>睿洋</t>
  </si>
  <si>
    <t>石崇鹏</t>
  </si>
  <si>
    <t>喻</t>
  </si>
  <si>
    <t>戈清</t>
  </si>
  <si>
    <t>红青峰</t>
  </si>
  <si>
    <t>柏</t>
  </si>
  <si>
    <t>舒潇</t>
  </si>
  <si>
    <t>蓬峻熙</t>
  </si>
  <si>
    <t>水</t>
  </si>
  <si>
    <t>成颍</t>
  </si>
  <si>
    <t>窦</t>
  </si>
  <si>
    <t>铸宏</t>
  </si>
  <si>
    <t>章</t>
  </si>
  <si>
    <t>宗华</t>
  </si>
  <si>
    <t>云</t>
  </si>
  <si>
    <t>柔汐</t>
  </si>
  <si>
    <t>苏</t>
  </si>
  <si>
    <t>宣含</t>
  </si>
  <si>
    <t>鬱紫雨</t>
  </si>
  <si>
    <t>潘</t>
  </si>
  <si>
    <t>齐瀛</t>
  </si>
  <si>
    <t>叔州涵</t>
  </si>
  <si>
    <t>葛</t>
  </si>
  <si>
    <t>睿厚</t>
  </si>
  <si>
    <t>奚</t>
  </si>
  <si>
    <t>心伯</t>
  </si>
  <si>
    <t>范</t>
  </si>
  <si>
    <t>州涵</t>
  </si>
  <si>
    <t>彭</t>
  </si>
  <si>
    <t>锐晖</t>
  </si>
  <si>
    <t>郎</t>
  </si>
  <si>
    <t>俞甫</t>
  </si>
  <si>
    <t>鲁</t>
  </si>
  <si>
    <t>承行</t>
  </si>
  <si>
    <t>韦</t>
  </si>
  <si>
    <t>钱涵</t>
  </si>
  <si>
    <t>昌</t>
  </si>
  <si>
    <t>诗洋</t>
  </si>
  <si>
    <t>马</t>
  </si>
  <si>
    <t>剑淇</t>
  </si>
  <si>
    <t>苗</t>
  </si>
  <si>
    <t>仁点</t>
  </si>
  <si>
    <t>凤</t>
  </si>
  <si>
    <t>书翡</t>
  </si>
  <si>
    <t>花</t>
  </si>
  <si>
    <t>鉴航</t>
  </si>
  <si>
    <t>方</t>
  </si>
  <si>
    <t>俞</t>
  </si>
  <si>
    <t>任</t>
  </si>
  <si>
    <t>袁</t>
  </si>
  <si>
    <t>柳</t>
  </si>
  <si>
    <t>酆</t>
  </si>
  <si>
    <t>鲍</t>
  </si>
  <si>
    <t>史</t>
  </si>
  <si>
    <t>唐</t>
  </si>
  <si>
    <t>费</t>
  </si>
  <si>
    <t>廉</t>
  </si>
  <si>
    <t>岑</t>
  </si>
  <si>
    <t>薛</t>
  </si>
  <si>
    <t>雷</t>
  </si>
  <si>
    <t>贺</t>
  </si>
  <si>
    <t>倪</t>
  </si>
  <si>
    <t>汤</t>
  </si>
  <si>
    <t>滕</t>
  </si>
  <si>
    <t>殷</t>
  </si>
  <si>
    <t>罗</t>
  </si>
  <si>
    <t>毕</t>
  </si>
  <si>
    <t>郝</t>
  </si>
  <si>
    <t>邬</t>
  </si>
  <si>
    <t>安</t>
  </si>
  <si>
    <t>常</t>
  </si>
  <si>
    <t>乐</t>
  </si>
  <si>
    <t>于</t>
  </si>
  <si>
    <t>时</t>
  </si>
  <si>
    <t>傅</t>
  </si>
  <si>
    <t>皮</t>
  </si>
  <si>
    <t>卞</t>
  </si>
  <si>
    <t>齐</t>
  </si>
  <si>
    <t>康</t>
  </si>
  <si>
    <t>伍</t>
  </si>
  <si>
    <t>余</t>
  </si>
  <si>
    <t>元</t>
  </si>
  <si>
    <t>卜</t>
  </si>
  <si>
    <t>顾</t>
  </si>
  <si>
    <t>孟</t>
  </si>
  <si>
    <t>平</t>
  </si>
  <si>
    <t>黄</t>
  </si>
  <si>
    <t>和</t>
  </si>
  <si>
    <t>穆</t>
  </si>
  <si>
    <t>萧</t>
  </si>
  <si>
    <t>尹</t>
  </si>
  <si>
    <t>姚</t>
  </si>
  <si>
    <t>邵</t>
  </si>
  <si>
    <t>湛</t>
  </si>
  <si>
    <t>汪</t>
  </si>
  <si>
    <t>祁</t>
  </si>
  <si>
    <t>毛</t>
  </si>
  <si>
    <t>禹</t>
  </si>
  <si>
    <t>狄</t>
  </si>
  <si>
    <t>米</t>
  </si>
  <si>
    <t>贝</t>
  </si>
  <si>
    <t>明</t>
  </si>
  <si>
    <t>臧</t>
  </si>
  <si>
    <t>计</t>
  </si>
  <si>
    <t>伏</t>
  </si>
  <si>
    <t>成</t>
  </si>
  <si>
    <t>戴</t>
  </si>
  <si>
    <t>谈</t>
  </si>
  <si>
    <t>宋</t>
  </si>
  <si>
    <t>茅</t>
  </si>
  <si>
    <t>庞</t>
  </si>
  <si>
    <t>熊</t>
  </si>
  <si>
    <t>纪</t>
  </si>
  <si>
    <t>舒</t>
  </si>
  <si>
    <t>屈</t>
  </si>
  <si>
    <t>项</t>
  </si>
  <si>
    <t>祝</t>
  </si>
  <si>
    <t>董</t>
  </si>
  <si>
    <t>梁</t>
  </si>
  <si>
    <t>杜</t>
  </si>
  <si>
    <t>阮</t>
  </si>
  <si>
    <t>蓝</t>
  </si>
  <si>
    <t>闵</t>
  </si>
  <si>
    <t>席</t>
  </si>
  <si>
    <t>季</t>
  </si>
  <si>
    <t>麻</t>
  </si>
  <si>
    <t>强</t>
  </si>
  <si>
    <t>贾</t>
  </si>
  <si>
    <t>路</t>
  </si>
  <si>
    <t>娄</t>
  </si>
  <si>
    <t>危</t>
  </si>
  <si>
    <t>江</t>
  </si>
  <si>
    <t>童</t>
  </si>
  <si>
    <t>颜</t>
  </si>
  <si>
    <t>郭</t>
  </si>
  <si>
    <t>梅</t>
  </si>
  <si>
    <t>盛</t>
  </si>
  <si>
    <t>林</t>
  </si>
  <si>
    <t>刁</t>
  </si>
  <si>
    <t>钟</t>
  </si>
  <si>
    <t>徐</t>
  </si>
  <si>
    <t>邱</t>
  </si>
  <si>
    <t>骆</t>
  </si>
  <si>
    <t>高</t>
  </si>
  <si>
    <t>夏</t>
  </si>
  <si>
    <t>蔡</t>
  </si>
  <si>
    <t>田</t>
  </si>
  <si>
    <t>樊</t>
  </si>
  <si>
    <t>胡</t>
  </si>
  <si>
    <t>凌</t>
  </si>
  <si>
    <t>霍</t>
  </si>
  <si>
    <t>虞</t>
  </si>
  <si>
    <t>万</t>
  </si>
  <si>
    <t>支</t>
  </si>
  <si>
    <t>柯</t>
  </si>
  <si>
    <t>昝</t>
  </si>
  <si>
    <t>管</t>
  </si>
  <si>
    <t>卢</t>
  </si>
  <si>
    <t>莫</t>
  </si>
  <si>
    <t>经</t>
  </si>
  <si>
    <t>房</t>
  </si>
  <si>
    <t>裘</t>
  </si>
  <si>
    <t>缪</t>
  </si>
  <si>
    <t>干</t>
  </si>
  <si>
    <t>解</t>
  </si>
  <si>
    <t>应</t>
  </si>
  <si>
    <t>宗</t>
  </si>
  <si>
    <t>丁</t>
  </si>
  <si>
    <t>宣</t>
  </si>
  <si>
    <t>贲</t>
  </si>
  <si>
    <t>邓</t>
  </si>
  <si>
    <t>郁</t>
  </si>
  <si>
    <t>单</t>
  </si>
  <si>
    <t>杭</t>
  </si>
  <si>
    <t>洪</t>
  </si>
  <si>
    <t>包</t>
  </si>
  <si>
    <t>诸</t>
  </si>
  <si>
    <t>左</t>
  </si>
  <si>
    <t>石</t>
  </si>
  <si>
    <t>崔</t>
  </si>
  <si>
    <t>吉</t>
  </si>
  <si>
    <t>钮</t>
  </si>
  <si>
    <t>龚</t>
  </si>
  <si>
    <t>程</t>
  </si>
  <si>
    <t>嵇</t>
  </si>
  <si>
    <t>邢</t>
  </si>
  <si>
    <t>滑</t>
  </si>
  <si>
    <t>裴</t>
  </si>
  <si>
    <t>陆</t>
  </si>
  <si>
    <t>荣</t>
  </si>
  <si>
    <t>翁</t>
  </si>
  <si>
    <t>荀</t>
  </si>
  <si>
    <t>羊</t>
  </si>
  <si>
    <t>於</t>
  </si>
  <si>
    <t>惠</t>
  </si>
  <si>
    <t>甄</t>
  </si>
  <si>
    <t>曲</t>
  </si>
  <si>
    <t>家</t>
  </si>
  <si>
    <t>封</t>
  </si>
  <si>
    <t>芮</t>
  </si>
  <si>
    <t>羿</t>
  </si>
  <si>
    <t>储</t>
  </si>
  <si>
    <t>靳</t>
  </si>
  <si>
    <t>汲</t>
  </si>
  <si>
    <t>邴</t>
  </si>
  <si>
    <t>糜</t>
  </si>
  <si>
    <t>松</t>
  </si>
  <si>
    <t>井</t>
  </si>
  <si>
    <t>段</t>
  </si>
  <si>
    <t>富</t>
  </si>
  <si>
    <t>巫</t>
  </si>
  <si>
    <t>乌</t>
  </si>
  <si>
    <t>焦</t>
  </si>
  <si>
    <t>巴</t>
  </si>
  <si>
    <t>弓</t>
  </si>
  <si>
    <t>牧</t>
  </si>
  <si>
    <t>隗</t>
  </si>
  <si>
    <t>山</t>
  </si>
  <si>
    <t>谷</t>
  </si>
  <si>
    <t>车</t>
  </si>
  <si>
    <t>侯</t>
  </si>
  <si>
    <t>宓</t>
  </si>
  <si>
    <t>蓬</t>
  </si>
  <si>
    <t>全</t>
  </si>
  <si>
    <t>郗</t>
  </si>
  <si>
    <t>班</t>
  </si>
  <si>
    <t>仰</t>
  </si>
  <si>
    <t>秋</t>
  </si>
  <si>
    <t>仲</t>
  </si>
  <si>
    <t>伊</t>
  </si>
  <si>
    <t>宫</t>
  </si>
  <si>
    <t>宁</t>
  </si>
  <si>
    <t>仇</t>
  </si>
  <si>
    <t>栾</t>
  </si>
  <si>
    <t>暴</t>
  </si>
  <si>
    <t>甘</t>
  </si>
  <si>
    <t>钭</t>
  </si>
  <si>
    <t>厉</t>
  </si>
  <si>
    <t>戎</t>
  </si>
  <si>
    <t>祖</t>
  </si>
  <si>
    <t>武</t>
  </si>
  <si>
    <t>符</t>
  </si>
  <si>
    <t>刘</t>
  </si>
  <si>
    <t>景</t>
  </si>
  <si>
    <t>詹</t>
  </si>
  <si>
    <t>束</t>
  </si>
  <si>
    <t>龙</t>
  </si>
  <si>
    <t>叶</t>
  </si>
  <si>
    <t>幸</t>
  </si>
  <si>
    <t>司</t>
  </si>
  <si>
    <t>韶</t>
  </si>
  <si>
    <t>郜</t>
  </si>
  <si>
    <t>黎</t>
  </si>
  <si>
    <t>蓟</t>
  </si>
  <si>
    <t>薄</t>
  </si>
  <si>
    <t>印</t>
  </si>
  <si>
    <t>宿</t>
  </si>
  <si>
    <t>白</t>
  </si>
  <si>
    <t>怀</t>
  </si>
  <si>
    <t>蒲</t>
  </si>
  <si>
    <t>邰</t>
  </si>
  <si>
    <t>从</t>
  </si>
  <si>
    <t>鄂</t>
  </si>
  <si>
    <t>索</t>
  </si>
  <si>
    <t>咸</t>
  </si>
  <si>
    <t>籍</t>
  </si>
  <si>
    <t>赖</t>
  </si>
  <si>
    <t>卓</t>
  </si>
  <si>
    <t>蔺</t>
  </si>
  <si>
    <t>屠</t>
  </si>
  <si>
    <t>蒙</t>
  </si>
  <si>
    <t>池</t>
  </si>
  <si>
    <t>乔</t>
  </si>
  <si>
    <t>阴</t>
  </si>
  <si>
    <t>鬱</t>
  </si>
  <si>
    <t>胥</t>
  </si>
  <si>
    <t>能</t>
  </si>
  <si>
    <t>苍</t>
  </si>
  <si>
    <t>双</t>
  </si>
  <si>
    <t>闻</t>
  </si>
  <si>
    <t>莘</t>
  </si>
  <si>
    <t>党</t>
  </si>
  <si>
    <t>翟</t>
  </si>
  <si>
    <t>谭</t>
  </si>
  <si>
    <t>贡</t>
  </si>
  <si>
    <t>劳</t>
  </si>
  <si>
    <t>逄</t>
  </si>
  <si>
    <t>姬</t>
  </si>
  <si>
    <t>申</t>
  </si>
  <si>
    <t>扶</t>
  </si>
  <si>
    <t>堵</t>
  </si>
  <si>
    <t>冉</t>
  </si>
  <si>
    <t>宰</t>
  </si>
  <si>
    <t>郦</t>
  </si>
  <si>
    <t>雍</t>
  </si>
  <si>
    <t>卻</t>
  </si>
  <si>
    <t>璩</t>
  </si>
  <si>
    <t>桑</t>
  </si>
  <si>
    <t>桂</t>
  </si>
  <si>
    <t>濮</t>
  </si>
  <si>
    <t>牛</t>
  </si>
  <si>
    <t>寿</t>
  </si>
  <si>
    <t>通</t>
  </si>
  <si>
    <t>边</t>
  </si>
  <si>
    <t>扈</t>
  </si>
  <si>
    <t>燕</t>
  </si>
  <si>
    <t>冀</t>
  </si>
  <si>
    <t>郏</t>
  </si>
  <si>
    <t>浦</t>
  </si>
  <si>
    <t>尚</t>
  </si>
  <si>
    <t>农</t>
  </si>
  <si>
    <t>温</t>
  </si>
  <si>
    <t>别</t>
  </si>
  <si>
    <t>庄</t>
  </si>
  <si>
    <t>晏</t>
  </si>
  <si>
    <t>柴</t>
  </si>
  <si>
    <t>瞿</t>
  </si>
  <si>
    <t>阎</t>
  </si>
  <si>
    <t>充</t>
  </si>
  <si>
    <t>慕</t>
  </si>
  <si>
    <t>连</t>
  </si>
  <si>
    <t>茹</t>
  </si>
  <si>
    <t>习</t>
  </si>
  <si>
    <t>宦</t>
  </si>
  <si>
    <t>艾</t>
  </si>
  <si>
    <t>鱼</t>
  </si>
  <si>
    <t>容</t>
  </si>
  <si>
    <t>向</t>
  </si>
  <si>
    <t>古</t>
  </si>
  <si>
    <t>易</t>
  </si>
  <si>
    <t>慎</t>
  </si>
  <si>
    <t>戈</t>
  </si>
  <si>
    <t>廖</t>
  </si>
  <si>
    <t>庾</t>
  </si>
  <si>
    <t>终</t>
  </si>
  <si>
    <t>暨</t>
  </si>
  <si>
    <t>居</t>
  </si>
  <si>
    <t>衡</t>
  </si>
  <si>
    <t>步</t>
  </si>
  <si>
    <t>都</t>
  </si>
  <si>
    <t>耿</t>
  </si>
  <si>
    <t>满</t>
  </si>
  <si>
    <t>弘</t>
  </si>
  <si>
    <t>匡</t>
  </si>
  <si>
    <t>国</t>
  </si>
  <si>
    <t>文</t>
  </si>
  <si>
    <t>寇</t>
  </si>
  <si>
    <t>广</t>
  </si>
  <si>
    <t>禄</t>
  </si>
  <si>
    <t>阙</t>
  </si>
  <si>
    <t>东</t>
  </si>
  <si>
    <t>欧</t>
  </si>
  <si>
    <t>殳</t>
  </si>
  <si>
    <t>沃</t>
  </si>
  <si>
    <t>利</t>
  </si>
  <si>
    <t>蔚</t>
  </si>
  <si>
    <t>越</t>
  </si>
  <si>
    <t>夔</t>
  </si>
  <si>
    <t>隆</t>
  </si>
  <si>
    <t>师</t>
  </si>
  <si>
    <t>巩</t>
  </si>
  <si>
    <t>厍</t>
  </si>
  <si>
    <t>聂</t>
  </si>
  <si>
    <t>晁</t>
  </si>
  <si>
    <t>勾</t>
  </si>
  <si>
    <t>敖</t>
  </si>
  <si>
    <t>融</t>
  </si>
  <si>
    <t>冷</t>
  </si>
  <si>
    <t>訾</t>
  </si>
  <si>
    <t>辛</t>
  </si>
  <si>
    <t>阚</t>
  </si>
  <si>
    <t>那</t>
  </si>
  <si>
    <t>简</t>
  </si>
  <si>
    <t>饶</t>
  </si>
  <si>
    <t>空</t>
  </si>
  <si>
    <t>曾</t>
  </si>
  <si>
    <t>毋</t>
  </si>
  <si>
    <t>沙</t>
  </si>
  <si>
    <t>乜</t>
  </si>
  <si>
    <t>养</t>
  </si>
  <si>
    <t>鞠</t>
  </si>
  <si>
    <t>须</t>
  </si>
  <si>
    <t>丰</t>
  </si>
  <si>
    <t>巢</t>
  </si>
  <si>
    <t>关</t>
  </si>
  <si>
    <t>蒯</t>
  </si>
  <si>
    <t>相</t>
  </si>
  <si>
    <t>查</t>
  </si>
  <si>
    <t>后</t>
  </si>
  <si>
    <t>荆</t>
  </si>
  <si>
    <t>红</t>
  </si>
  <si>
    <t>游</t>
  </si>
  <si>
    <t>竺</t>
  </si>
  <si>
    <t>权</t>
  </si>
  <si>
    <t>逯</t>
  </si>
  <si>
    <t>盖</t>
  </si>
  <si>
    <t>益</t>
  </si>
  <si>
    <t>桓</t>
  </si>
  <si>
    <t>公</t>
  </si>
  <si>
    <t>俟</t>
  </si>
  <si>
    <t>上</t>
  </si>
  <si>
    <t>官</t>
  </si>
  <si>
    <t>阳</t>
  </si>
  <si>
    <t>人</t>
  </si>
  <si>
    <t>赫</t>
  </si>
  <si>
    <t>皇</t>
  </si>
  <si>
    <t>甫</t>
  </si>
  <si>
    <t>尉</t>
  </si>
  <si>
    <t>迟</t>
  </si>
  <si>
    <t>澹</t>
  </si>
  <si>
    <t>台</t>
  </si>
  <si>
    <t>冶</t>
  </si>
  <si>
    <t>政</t>
  </si>
  <si>
    <t>淳</t>
  </si>
  <si>
    <t>太</t>
  </si>
  <si>
    <t>叔</t>
  </si>
  <si>
    <t>轩</t>
  </si>
  <si>
    <t>辕</t>
  </si>
  <si>
    <t>令</t>
  </si>
  <si>
    <t>狐</t>
  </si>
  <si>
    <t>离</t>
  </si>
  <si>
    <t>宇</t>
  </si>
  <si>
    <t>长</t>
  </si>
  <si>
    <t>鲜</t>
  </si>
  <si>
    <t>闾</t>
  </si>
  <si>
    <t>丘</t>
  </si>
  <si>
    <t>徒</t>
  </si>
  <si>
    <t>丌</t>
  </si>
  <si>
    <t>仉</t>
  </si>
  <si>
    <t>督</t>
  </si>
  <si>
    <t>子</t>
  </si>
  <si>
    <t>颛</t>
  </si>
  <si>
    <t>端</t>
  </si>
  <si>
    <t>木</t>
  </si>
  <si>
    <t>西</t>
  </si>
  <si>
    <t>漆</t>
  </si>
  <si>
    <t>雕</t>
  </si>
  <si>
    <t>正</t>
  </si>
  <si>
    <t>壤</t>
  </si>
  <si>
    <t>驷</t>
  </si>
  <si>
    <t>良</t>
  </si>
  <si>
    <t>拓</t>
  </si>
  <si>
    <t>跋</t>
  </si>
  <si>
    <t>夹</t>
  </si>
  <si>
    <t>父</t>
  </si>
  <si>
    <t>晋</t>
  </si>
  <si>
    <t>楚</t>
  </si>
  <si>
    <t>闫</t>
  </si>
  <si>
    <t>法</t>
  </si>
  <si>
    <t>汝</t>
  </si>
  <si>
    <t>鄢</t>
  </si>
  <si>
    <t>涂</t>
  </si>
  <si>
    <t>钦</t>
  </si>
  <si>
    <t>百</t>
  </si>
  <si>
    <t>里</t>
  </si>
  <si>
    <t>南</t>
  </si>
  <si>
    <t>门</t>
  </si>
  <si>
    <t>呼</t>
  </si>
  <si>
    <t>延</t>
  </si>
  <si>
    <t>归</t>
  </si>
  <si>
    <t>海</t>
  </si>
  <si>
    <t>舌</t>
  </si>
  <si>
    <t>微</t>
  </si>
  <si>
    <t>生</t>
  </si>
  <si>
    <t>岳</t>
  </si>
  <si>
    <t>帅</t>
  </si>
  <si>
    <t>缑</t>
  </si>
  <si>
    <t>亢</t>
  </si>
  <si>
    <t>况</t>
  </si>
  <si>
    <t>郈</t>
  </si>
  <si>
    <t>有</t>
  </si>
  <si>
    <t>琴</t>
  </si>
  <si>
    <t>商</t>
  </si>
  <si>
    <t>牟</t>
  </si>
  <si>
    <t>佘</t>
  </si>
  <si>
    <t>佴</t>
  </si>
  <si>
    <t>伯</t>
  </si>
  <si>
    <t>赏</t>
  </si>
  <si>
    <t>墨</t>
  </si>
  <si>
    <t>哈</t>
  </si>
  <si>
    <t>谯</t>
  </si>
  <si>
    <t>笪</t>
  </si>
  <si>
    <t>年</t>
  </si>
  <si>
    <t>爱</t>
  </si>
  <si>
    <t>佟</t>
  </si>
  <si>
    <t>第</t>
  </si>
  <si>
    <t>五</t>
  </si>
  <si>
    <t>言</t>
  </si>
  <si>
    <t>福</t>
  </si>
  <si>
    <t>序号</t>
  </si>
  <si>
    <t>$A$1</t>
  </si>
  <si>
    <t>$B$1</t>
  </si>
  <si>
    <t>基本工资</t>
  </si>
  <si>
    <t>$C$1</t>
  </si>
  <si>
    <t>加班工资</t>
  </si>
  <si>
    <t>$D$1</t>
  </si>
  <si>
    <t>津贴</t>
  </si>
  <si>
    <t>$E$1</t>
  </si>
  <si>
    <t>绩效考核</t>
  </si>
  <si>
    <t>$F$1</t>
  </si>
  <si>
    <t>标题区域</t>
  </si>
  <si>
    <t>$A$1:$P$1</t>
  </si>
  <si>
    <t>全勤奖</t>
  </si>
  <si>
    <t>$G$1</t>
  </si>
  <si>
    <t>数据开始行</t>
  </si>
  <si>
    <t>加班补贴</t>
  </si>
  <si>
    <t>$H$1</t>
  </si>
  <si>
    <t>缺勤扣款</t>
  </si>
  <si>
    <t>$I$1</t>
  </si>
  <si>
    <t>姓名列</t>
  </si>
  <si>
    <t>事假扣款</t>
  </si>
  <si>
    <t>$J$1</t>
  </si>
  <si>
    <t>邮箱列</t>
  </si>
  <si>
    <t>邮箱</t>
  </si>
  <si>
    <t>病假扣款</t>
  </si>
  <si>
    <t>$K$1</t>
  </si>
  <si>
    <t>迟到扣款</t>
  </si>
  <si>
    <t>$L$1</t>
  </si>
  <si>
    <t>标题区域左上角值</t>
  </si>
  <si>
    <t>养老保险</t>
  </si>
  <si>
    <t>$M$1</t>
  </si>
  <si>
    <t>标题区域右下角值</t>
  </si>
  <si>
    <t>个人所得税</t>
  </si>
  <si>
    <t>$N$1</t>
  </si>
  <si>
    <t>姓名数据单元格</t>
  </si>
  <si>
    <t>B1</t>
  </si>
  <si>
    <t>实发金额</t>
  </si>
  <si>
    <t>$O$1</t>
  </si>
  <si>
    <t>邮箱数据单元格</t>
  </si>
  <si>
    <t>P1</t>
  </si>
  <si>
    <t>$P$1</t>
  </si>
  <si>
    <t>工资表头json</t>
  </si>
  <si>
    <t>{"list":[{"id":"1","label":"序号","address":"$A$1","selected":2},{"id":"2","label":"姓名","address":"$B$1","selected":2},{"id":"3","label":"基本工资","address":"$C$1","selected":2},{"id":"4","label":"加班工资","address":"$D$1","selected":2},{"id":"5","label":"津贴","address":"$E$1","selected":2},{"id":"6","label":"绩效考核","address":"$F$1","selected":2},{"id":"7","label":"全勤奖","address":"$G$1","selected":2},{"id":"8","label":"加班补贴","address":"$H$1","selected":2},{"id":"9","label":"缺勤扣款","address":"$I$1","selected":2},{"id":"10","label":"事假扣款","address":"$J$1","selected":2},{"id":"11","label":"病假扣款","address":"$K$1","selected":2},{"id":"12","label":"迟到扣款","address":"$L$1","selected":2},{"id":"13","label":"养老保险","address":"$M$1","selected":2},{"id":"14","label":"个人所得税","address":"$N$1","selected":2},{"id":"15","label":"实发金额","address":"$O$1","selected":2},{"id":"16","label":"邮箱","address":"$P$1","selected":2}]}</t>
  </si>
  <si>
    <t>横向工资条</t>
  </si>
  <si>
    <t>标题</t>
  </si>
  <si>
    <t>您当月的工资条</t>
  </si>
  <si>
    <t>页眉</t>
  </si>
  <si>
    <t>您好，以下是您的工资单，请查收！</t>
  </si>
  <si>
    <t>页脚</t>
  </si>
  <si>
    <t>&lt;br&gt;祝好！&lt;br&gt;此工资条仅供员工本人浏览，如有任何疑问，请及时与人力资源部薪酬组联系！&lt;br&gt;</t>
  </si>
  <si>
    <t>邮件内容类型</t>
  </si>
  <si>
    <t>html</t>
  </si>
  <si>
    <t>图片附件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</si>
</sst>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&quot;月&quot;d&quot;日&quot;;@"/>
    <numFmt numFmtId="177" formatCode="yyyy&quot;年&quot;m&quot;月&quot;;@"/>
  </numFmts>
  <fonts count="27">
    <font>
      <sz val="11"/>
      <color theme="1"/>
      <name val="宋体"/>
      <charset val="134"/>
      <scheme val="minor"/>
    </font>
    <font>
      <sz val="10.45"/>
      <color rgb="FF333333"/>
      <name val="Microsoft YaHei"/>
      <charset val="134"/>
    </font>
    <font>
      <sz val="11"/>
      <color rgb="FFFF0000"/>
      <name val="宋体"/>
      <charset val="134"/>
      <scheme val="minor"/>
    </font>
    <font>
      <sz val="15"/>
      <color theme="1"/>
      <name val="宋体"/>
      <charset val="134"/>
      <scheme val="minor"/>
    </font>
    <font>
      <b/>
      <sz val="13"/>
      <color theme="1"/>
      <name val="宋体"/>
      <charset val="134"/>
      <scheme val="minor"/>
    </font>
    <font>
      <b/>
      <sz val="15"/>
      <color theme="1"/>
      <name val="宋体"/>
      <charset val="134"/>
      <scheme val="minor"/>
    </font>
    <font>
      <sz val="12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0" fillId="13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38" borderId="25" applyNumberFormat="0" applyFont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6" fillId="0" borderId="21" applyNumberFormat="0" applyFill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16" fillId="0" borderId="23" applyNumberFormat="0" applyFill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9" fillId="19" borderId="20" applyNumberFormat="0" applyAlignment="0" applyProtection="0">
      <alignment vertical="center"/>
    </xf>
    <xf numFmtId="0" fontId="13" fillId="19" borderId="18" applyNumberFormat="0" applyAlignment="0" applyProtection="0">
      <alignment vertical="center"/>
    </xf>
    <xf numFmtId="0" fontId="25" fillId="36" borderId="24" applyNumberForma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4" fillId="0" borderId="19" applyNumberFormat="0" applyFill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vertical="center" wrapText="1"/>
    </xf>
    <xf numFmtId="0" fontId="1" fillId="0" borderId="0" xfId="0" applyFont="1">
      <alignment vertical="center"/>
    </xf>
    <xf numFmtId="0" fontId="0" fillId="0" borderId="0" xfId="0" applyFill="1">
      <alignment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3" fillId="2" borderId="0" xfId="0" applyFont="1" applyFill="1">
      <alignment vertical="center"/>
    </xf>
    <xf numFmtId="0" fontId="0" fillId="2" borderId="3" xfId="0" applyFill="1" applyBorder="1">
      <alignment vertical="center"/>
    </xf>
    <xf numFmtId="0" fontId="2" fillId="3" borderId="0" xfId="0" applyFont="1" applyFill="1">
      <alignment vertical="center"/>
    </xf>
    <xf numFmtId="0" fontId="3" fillId="4" borderId="4" xfId="0" applyFont="1" applyFill="1" applyBorder="1">
      <alignment vertical="center"/>
    </xf>
    <xf numFmtId="0" fontId="3" fillId="2" borderId="4" xfId="0" applyFont="1" applyFill="1" applyBorder="1" applyAlignment="1">
      <alignment horizontal="center" vertical="center"/>
    </xf>
    <xf numFmtId="176" fontId="3" fillId="2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5" xfId="0" applyFill="1" applyBorder="1">
      <alignment vertical="center"/>
    </xf>
    <xf numFmtId="0" fontId="0" fillId="5" borderId="4" xfId="0" applyFill="1" applyBorder="1">
      <alignment vertical="center"/>
    </xf>
    <xf numFmtId="176" fontId="0" fillId="6" borderId="4" xfId="0" applyNumberFormat="1" applyFill="1" applyBorder="1">
      <alignment vertical="center"/>
    </xf>
    <xf numFmtId="0" fontId="0" fillId="4" borderId="4" xfId="0" applyFill="1" applyBorder="1">
      <alignment vertical="center"/>
    </xf>
    <xf numFmtId="0" fontId="0" fillId="2" borderId="4" xfId="0" applyFill="1" applyBorder="1">
      <alignment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9" fontId="0" fillId="2" borderId="8" xfId="0" applyNumberFormat="1" applyFill="1" applyBorder="1">
      <alignment vertical="center"/>
    </xf>
    <xf numFmtId="9" fontId="0" fillId="2" borderId="9" xfId="0" applyNumberFormat="1" applyFill="1" applyBorder="1">
      <alignment vertical="center"/>
    </xf>
    <xf numFmtId="9" fontId="0" fillId="2" borderId="0" xfId="0" applyNumberFormat="1" applyFill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4" fillId="2" borderId="0" xfId="0" applyFont="1" applyFill="1">
      <alignment vertical="center"/>
    </xf>
    <xf numFmtId="0" fontId="3" fillId="2" borderId="4" xfId="0" applyFont="1" applyFill="1" applyBorder="1">
      <alignment vertical="center"/>
    </xf>
    <xf numFmtId="0" fontId="5" fillId="2" borderId="0" xfId="0" applyFont="1" applyFill="1">
      <alignment vertical="center"/>
    </xf>
    <xf numFmtId="0" fontId="0" fillId="2" borderId="13" xfId="0" applyFill="1" applyBorder="1">
      <alignment vertical="center"/>
    </xf>
    <xf numFmtId="0" fontId="0" fillId="2" borderId="10" xfId="0" applyFont="1" applyFill="1" applyBorder="1">
      <alignment vertical="center"/>
    </xf>
    <xf numFmtId="0" fontId="0" fillId="2" borderId="11" xfId="0" applyFon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0" xfId="0" applyFont="1" applyFill="1">
      <alignment vertical="center"/>
    </xf>
    <xf numFmtId="0" fontId="0" fillId="2" borderId="15" xfId="0" applyFont="1" applyFill="1" applyBorder="1">
      <alignment vertical="center"/>
    </xf>
    <xf numFmtId="0" fontId="0" fillId="2" borderId="16" xfId="0" applyFont="1" applyFill="1" applyBorder="1">
      <alignment vertical="center"/>
    </xf>
    <xf numFmtId="0" fontId="0" fillId="2" borderId="13" xfId="0" applyFont="1" applyFill="1" applyBorder="1">
      <alignment vertical="center"/>
    </xf>
    <xf numFmtId="0" fontId="0" fillId="2" borderId="14" xfId="0" applyFont="1" applyFill="1" applyBorder="1">
      <alignment vertical="center"/>
    </xf>
    <xf numFmtId="0" fontId="0" fillId="2" borderId="8" xfId="0" applyFont="1" applyFill="1" applyBorder="1">
      <alignment vertical="center"/>
    </xf>
    <xf numFmtId="0" fontId="0" fillId="2" borderId="0" xfId="0" applyFill="1" applyProtection="1">
      <alignment vertical="center"/>
      <protection locked="0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0" xfId="0" applyFill="1" applyProtection="1">
      <alignment vertical="center"/>
    </xf>
    <xf numFmtId="0" fontId="0" fillId="2" borderId="3" xfId="0" applyFill="1" applyBorder="1" applyProtection="1">
      <alignment vertical="center"/>
      <protection locked="0"/>
    </xf>
    <xf numFmtId="177" fontId="0" fillId="7" borderId="4" xfId="0" applyNumberFormat="1" applyFont="1" applyFill="1" applyBorder="1">
      <alignment vertical="center"/>
    </xf>
    <xf numFmtId="0" fontId="0" fillId="2" borderId="4" xfId="0" applyFill="1" applyBorder="1" applyProtection="1">
      <alignment vertical="center"/>
      <protection locked="0"/>
    </xf>
    <xf numFmtId="0" fontId="6" fillId="2" borderId="10" xfId="0" applyFont="1" applyFill="1" applyBorder="1">
      <alignment vertical="center"/>
    </xf>
    <xf numFmtId="0" fontId="7" fillId="2" borderId="11" xfId="0" applyFont="1" applyFill="1" applyBorder="1">
      <alignment vertical="center"/>
    </xf>
    <xf numFmtId="0" fontId="0" fillId="2" borderId="4" xfId="0" applyFill="1" applyBorder="1">
      <alignment vertical="center"/>
    </xf>
    <xf numFmtId="0" fontId="7" fillId="2" borderId="12" xfId="0" applyFont="1" applyFill="1" applyBorder="1">
      <alignment vertical="center"/>
    </xf>
    <xf numFmtId="0" fontId="7" fillId="2" borderId="0" xfId="0" applyFont="1" applyFill="1">
      <alignment vertical="center"/>
    </xf>
    <xf numFmtId="0" fontId="7" fillId="2" borderId="15" xfId="0" applyFont="1" applyFill="1" applyBorder="1">
      <alignment vertical="center"/>
    </xf>
    <xf numFmtId="0" fontId="7" fillId="2" borderId="16" xfId="0" applyFont="1" applyFill="1" applyBorder="1">
      <alignment vertical="center"/>
    </xf>
    <xf numFmtId="0" fontId="7" fillId="2" borderId="0" xfId="0" applyFont="1" applyFill="1">
      <alignment vertical="center"/>
    </xf>
    <xf numFmtId="0" fontId="7" fillId="2" borderId="0" xfId="0" applyFont="1" applyFill="1" applyProtection="1">
      <alignment vertical="center"/>
      <protection locked="0"/>
    </xf>
    <xf numFmtId="0" fontId="0" fillId="2" borderId="8" xfId="0" applyFill="1" applyBorder="1">
      <alignment vertical="center"/>
    </xf>
    <xf numFmtId="0" fontId="7" fillId="2" borderId="13" xfId="0" applyFont="1" applyFill="1" applyBorder="1">
      <alignment vertical="center"/>
    </xf>
    <xf numFmtId="0" fontId="7" fillId="2" borderId="14" xfId="0" applyFont="1" applyFill="1" applyBorder="1">
      <alignment vertical="center"/>
    </xf>
    <xf numFmtId="0" fontId="7" fillId="2" borderId="14" xfId="0" applyFont="1" applyFill="1" applyBorder="1">
      <alignment vertical="center"/>
    </xf>
    <xf numFmtId="0" fontId="7" fillId="2" borderId="16" xfId="0" applyFont="1" applyFill="1" applyBorder="1">
      <alignment vertical="center"/>
    </xf>
    <xf numFmtId="0" fontId="7" fillId="2" borderId="8" xfId="0" applyFont="1" applyFill="1" applyBorder="1">
      <alignment vertical="center"/>
    </xf>
    <xf numFmtId="0" fontId="0" fillId="2" borderId="3" xfId="0" applyFill="1" applyBorder="1" applyProtection="1">
      <alignment vertical="center"/>
    </xf>
    <xf numFmtId="0" fontId="0" fillId="2" borderId="3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0" xfId="0" applyFill="1" applyBorder="1">
      <alignment vertical="center"/>
    </xf>
    <xf numFmtId="0" fontId="0" fillId="8" borderId="4" xfId="0" applyFill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4" tint="0.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ColorStyle" Target="colors3.xml"/><Relationship Id="rId2" Type="http://schemas.microsoft.com/office/2011/relationships/chartStyle" Target="style3.xml"/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microsoft.com/office/2011/relationships/chartColorStyle" Target="colors7.xml"/><Relationship Id="rId2" Type="http://schemas.microsoft.com/office/2011/relationships/chartStyle" Target="style7.xml"/><Relationship Id="rId1" Type="http://schemas.openxmlformats.org/officeDocument/2006/relationships/themeOverride" Target="../theme/themeOverrid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黑体" panose="02010609060101010101" charset="-122"/>
              </a:defRPr>
            </a:pPr>
            <a:r>
              <a:rPr sz="2800">
                <a:latin typeface="黑体" panose="02010609060101010101" charset="-122"/>
                <a:ea typeface="黑体" panose="02010609060101010101" charset="-122"/>
                <a:cs typeface="黑体" panose="02010609060101010101" charset="-122"/>
                <a:sym typeface="黑体" panose="02010609060101010101" charset="-122"/>
              </a:rPr>
              <a:t>单人记录</a:t>
            </a:r>
            <a:endParaRPr sz="2800">
              <a:latin typeface="黑体" panose="02010609060101010101" charset="-122"/>
              <a:ea typeface="黑体" panose="02010609060101010101" charset="-122"/>
              <a:cs typeface="黑体" panose="02010609060101010101" charset="-122"/>
              <a:sym typeface="黑体" panose="02010609060101010101" charset="-122"/>
            </a:endParaRPr>
          </a:p>
        </c:rich>
      </c:tx>
      <c:layout>
        <c:manualLayout>
          <c:xMode val="edge"/>
          <c:yMode val="edge"/>
          <c:x val="0.0119289960100969"/>
          <c:y val="0.0159595690916345"/>
        </c:manualLayout>
      </c:layout>
      <c:overlay val="0"/>
      <c:spPr>
        <a:solidFill>
          <a:schemeClr val="bg2"/>
        </a:solidFill>
        <a:ln>
          <a:noFill/>
        </a:ln>
        <a:effectLst>
          <a:innerShdw blurRad="63500" dist="50800" dir="13500000">
            <a:schemeClr val="tx1">
              <a:alpha val="50000"/>
            </a:schemeClr>
          </a:innerShdw>
        </a:effectLst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工作表条件查询演示!$B$95</c:f>
              <c:strCache>
                <c:ptCount val="1"/>
                <c:pt idx="0">
                  <c:v>数量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工作表条件查询演示!$A$96:$A$107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工作表条件查询演示!$B$96:$B$107</c:f>
              <c:numCache>
                <c:formatCode>General</c:formatCode>
                <c:ptCount val="12"/>
                <c:pt idx="0">
                  <c:v>75</c:v>
                </c:pt>
                <c:pt idx="1">
                  <c:v>10</c:v>
                </c:pt>
                <c:pt idx="2">
                  <c:v>10</c:v>
                </c:pt>
                <c:pt idx="3">
                  <c:v>54</c:v>
                </c:pt>
                <c:pt idx="4">
                  <c:v>33</c:v>
                </c:pt>
                <c:pt idx="5">
                  <c:v>52</c:v>
                </c:pt>
                <c:pt idx="6">
                  <c:v>31</c:v>
                </c:pt>
                <c:pt idx="7">
                  <c:v>57</c:v>
                </c:pt>
                <c:pt idx="8">
                  <c:v>78</c:v>
                </c:pt>
                <c:pt idx="9">
                  <c:v>82</c:v>
                </c:pt>
                <c:pt idx="10">
                  <c:v>74</c:v>
                </c:pt>
                <c:pt idx="11">
                  <c:v>23</c:v>
                </c:pt>
              </c:numCache>
            </c:numRef>
          </c:val>
        </c:ser>
        <c:ser>
          <c:idx val="1"/>
          <c:order val="1"/>
          <c:tx>
            <c:strRef>
              <c:f>工作表条件查询演示!$C$95</c:f>
              <c:strCache>
                <c:ptCount val="1"/>
                <c:pt idx="0">
                  <c:v>最大值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工作表条件查询演示!$A$96:$A$107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工作表条件查询演示!$C$96:$C$107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ser>
          <c:idx val="2"/>
          <c:order val="2"/>
          <c:tx>
            <c:strRef>
              <c:f>工作表条件查询演示!$D$95</c:f>
              <c:strCache>
                <c:ptCount val="1"/>
                <c:pt idx="0">
                  <c:v>最小值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工作表条件查询演示!$A$96:$A$107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工作表条件查询演示!$D$96:$D$107</c:f>
              <c:numCache>
                <c:formatCode>General</c:formatCode>
                <c:ptCount val="12"/>
                <c:pt idx="0">
                  <c:v>#N/A</c:v>
                </c:pt>
                <c:pt idx="1">
                  <c:v>10</c:v>
                </c:pt>
                <c:pt idx="2">
                  <c:v>10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64699896"/>
        <c:axId val="54835884"/>
      </c:barChart>
      <c:catAx>
        <c:axId val="464699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4835884"/>
        <c:crosses val="autoZero"/>
        <c:auto val="1"/>
        <c:lblAlgn val="ctr"/>
        <c:lblOffset val="100"/>
        <c:noMultiLvlLbl val="0"/>
      </c:catAx>
      <c:valAx>
        <c:axId val="548358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64699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prstDash val="solid"/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K5</a:t>
            </a:r>
            <a:r>
              <a:rPr altLang="en-US" b="1"/>
              <a:t>日</a:t>
            </a:r>
            <a:r>
              <a:rPr b="1"/>
              <a:t>数据趋势图</a:t>
            </a:r>
            <a:endParaRPr b="1"/>
          </a:p>
        </c:rich>
      </c:tx>
      <c:layout>
        <c:manualLayout>
          <c:xMode val="edge"/>
          <c:yMode val="edge"/>
          <c:x val="0.0104045870377529"/>
          <c:y val="0.014975664545114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工作表条件查询演示!$A$36</c:f>
              <c:strCache>
                <c:ptCount val="1"/>
                <c:pt idx="0">
                  <c:v>计算数据量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lgDash"/>
                <a:headEnd type="none"/>
                <a:tailEnd type="triangle"/>
              </a:ln>
              <a:effectLst/>
            </c:spPr>
            <c:name>K5平均</c:name>
            <c:trendlineType val="movingAvg"/>
            <c:period val="5"/>
            <c:dispRSqr val="0"/>
            <c:dispEq val="0"/>
          </c:trendline>
          <c:val>
            <c:numRef>
              <c:f>工作表条件查询演示!$B$36:$AF$36</c:f>
              <c:numCache>
                <c:formatCode>General</c:formatCode>
                <c:ptCount val="31"/>
                <c:pt idx="0">
                  <c:v>1097</c:v>
                </c:pt>
                <c:pt idx="1">
                  <c:v>1155</c:v>
                </c:pt>
                <c:pt idx="2">
                  <c:v>1123</c:v>
                </c:pt>
                <c:pt idx="3">
                  <c:v>1164</c:v>
                </c:pt>
                <c:pt idx="4">
                  <c:v>861</c:v>
                </c:pt>
                <c:pt idx="5">
                  <c:v>1151</c:v>
                </c:pt>
                <c:pt idx="6">
                  <c:v>754</c:v>
                </c:pt>
                <c:pt idx="7">
                  <c:v>1056</c:v>
                </c:pt>
                <c:pt idx="8">
                  <c:v>993</c:v>
                </c:pt>
                <c:pt idx="9">
                  <c:v>1292</c:v>
                </c:pt>
                <c:pt idx="10">
                  <c:v>1282</c:v>
                </c:pt>
                <c:pt idx="11">
                  <c:v>1320</c:v>
                </c:pt>
                <c:pt idx="12">
                  <c:v>1333</c:v>
                </c:pt>
                <c:pt idx="13">
                  <c:v>1092</c:v>
                </c:pt>
                <c:pt idx="14">
                  <c:v>1238</c:v>
                </c:pt>
                <c:pt idx="15">
                  <c:v>782</c:v>
                </c:pt>
                <c:pt idx="16">
                  <c:v>1191</c:v>
                </c:pt>
                <c:pt idx="17">
                  <c:v>1121</c:v>
                </c:pt>
                <c:pt idx="18">
                  <c:v>1174</c:v>
                </c:pt>
                <c:pt idx="19">
                  <c:v>1047</c:v>
                </c:pt>
                <c:pt idx="20">
                  <c:v>1163</c:v>
                </c:pt>
                <c:pt idx="21">
                  <c:v>980</c:v>
                </c:pt>
                <c:pt idx="22">
                  <c:v>1028</c:v>
                </c:pt>
                <c:pt idx="23">
                  <c:v>992</c:v>
                </c:pt>
                <c:pt idx="24">
                  <c:v>915</c:v>
                </c:pt>
                <c:pt idx="25">
                  <c:v>981</c:v>
                </c:pt>
                <c:pt idx="26">
                  <c:v>1073</c:v>
                </c:pt>
                <c:pt idx="27">
                  <c:v>1414</c:v>
                </c:pt>
                <c:pt idx="28">
                  <c:v>1140</c:v>
                </c:pt>
                <c:pt idx="29">
                  <c:v>1026</c:v>
                </c:pt>
                <c:pt idx="30">
                  <c:v>1109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工作表条件查询演示!$A$37</c:f>
              <c:strCache>
                <c:ptCount val="1"/>
                <c:pt idx="0">
                  <c:v>辅助线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工作表条件查询演示!$B$37:$AF$37</c:f>
              <c:numCache>
                <c:formatCode>General</c:formatCode>
                <c:ptCount val="31"/>
                <c:pt idx="0">
                  <c:v>1098</c:v>
                </c:pt>
                <c:pt idx="1">
                  <c:v>1098</c:v>
                </c:pt>
                <c:pt idx="2">
                  <c:v>1098</c:v>
                </c:pt>
                <c:pt idx="3">
                  <c:v>1098</c:v>
                </c:pt>
                <c:pt idx="4">
                  <c:v>1098</c:v>
                </c:pt>
                <c:pt idx="5">
                  <c:v>1098</c:v>
                </c:pt>
                <c:pt idx="6">
                  <c:v>1098</c:v>
                </c:pt>
                <c:pt idx="7">
                  <c:v>1098</c:v>
                </c:pt>
                <c:pt idx="8">
                  <c:v>1098</c:v>
                </c:pt>
                <c:pt idx="9">
                  <c:v>1098</c:v>
                </c:pt>
                <c:pt idx="10">
                  <c:v>1098</c:v>
                </c:pt>
                <c:pt idx="11">
                  <c:v>1098</c:v>
                </c:pt>
                <c:pt idx="12">
                  <c:v>1098</c:v>
                </c:pt>
                <c:pt idx="13">
                  <c:v>1098</c:v>
                </c:pt>
                <c:pt idx="14">
                  <c:v>1098</c:v>
                </c:pt>
                <c:pt idx="15">
                  <c:v>1098</c:v>
                </c:pt>
                <c:pt idx="16">
                  <c:v>1098</c:v>
                </c:pt>
                <c:pt idx="17">
                  <c:v>1098</c:v>
                </c:pt>
                <c:pt idx="18">
                  <c:v>1098</c:v>
                </c:pt>
                <c:pt idx="19">
                  <c:v>1098</c:v>
                </c:pt>
                <c:pt idx="20">
                  <c:v>1098</c:v>
                </c:pt>
                <c:pt idx="21">
                  <c:v>1098</c:v>
                </c:pt>
                <c:pt idx="22">
                  <c:v>1098</c:v>
                </c:pt>
                <c:pt idx="23">
                  <c:v>1098</c:v>
                </c:pt>
                <c:pt idx="24">
                  <c:v>1098</c:v>
                </c:pt>
                <c:pt idx="25">
                  <c:v>1098</c:v>
                </c:pt>
                <c:pt idx="26">
                  <c:v>1098</c:v>
                </c:pt>
                <c:pt idx="27">
                  <c:v>1098</c:v>
                </c:pt>
                <c:pt idx="28">
                  <c:v>1098</c:v>
                </c:pt>
                <c:pt idx="29">
                  <c:v>1098</c:v>
                </c:pt>
                <c:pt idx="30">
                  <c:v>1098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工作表条件查询演示!$A$39</c:f>
              <c:strCache>
                <c:ptCount val="1"/>
                <c:pt idx="0">
                  <c:v>低于平均值</c:v>
                </c:pt>
              </c:strCache>
            </c:strRef>
          </c:tx>
          <c:spPr>
            <a:ln w="12700" cap="rnd" cmpd="sng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工作表条件查询演示!$B$39:$AF$39</c:f>
              <c:numCache>
                <c:formatCode>General</c:formatCode>
                <c:ptCount val="31"/>
                <c:pt idx="0">
                  <c:v>1097</c:v>
                </c:pt>
                <c:pt idx="1">
                  <c:v>#N/A</c:v>
                </c:pt>
                <c:pt idx="2">
                  <c:v>1123</c:v>
                </c:pt>
                <c:pt idx="3">
                  <c:v>1164</c:v>
                </c:pt>
                <c:pt idx="4">
                  <c:v>861</c:v>
                </c:pt>
                <c:pt idx="5">
                  <c:v>1151</c:v>
                </c:pt>
                <c:pt idx="6">
                  <c:v>0</c:v>
                </c:pt>
                <c:pt idx="7">
                  <c:v>1056</c:v>
                </c:pt>
                <c:pt idx="8">
                  <c:v>993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1092</c:v>
                </c:pt>
                <c:pt idx="14">
                  <c:v>#N/A</c:v>
                </c:pt>
                <c:pt idx="15">
                  <c:v>782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1047</c:v>
                </c:pt>
                <c:pt idx="20">
                  <c:v>#N/A</c:v>
                </c:pt>
                <c:pt idx="21">
                  <c:v>980</c:v>
                </c:pt>
                <c:pt idx="22">
                  <c:v>1028</c:v>
                </c:pt>
                <c:pt idx="23">
                  <c:v>992</c:v>
                </c:pt>
                <c:pt idx="24">
                  <c:v>915</c:v>
                </c:pt>
                <c:pt idx="25">
                  <c:v>981</c:v>
                </c:pt>
                <c:pt idx="26">
                  <c:v>1073</c:v>
                </c:pt>
                <c:pt idx="27">
                  <c:v>#N/A</c:v>
                </c:pt>
                <c:pt idx="28">
                  <c:v>#N/A</c:v>
                </c:pt>
                <c:pt idx="29">
                  <c:v>1026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559593"/>
        <c:axId val="8575965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工作表条件查询演示!$A$38</c15:sqref>
                        </c15:formulaRef>
                      </c:ext>
                    </c:extLst>
                    <c:strCache>
                      <c:ptCount val="1"/>
                      <c:pt idx="0">
                        <c:v>高于平均值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0" vertOverflow="ellipsis" vert="horz" wrap="square" lIns="38100" tIns="19050" rIns="38100" bIns="19050" anchor="ctr" anchorCtr="1"/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layout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工作表条件查询演示!$B$38:$AF$38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#N/A</c:v>
                      </c:pt>
                      <c:pt idx="1">
                        <c:v>1155</c:v>
                      </c:pt>
                      <c:pt idx="2">
                        <c:v>1123</c:v>
                      </c:pt>
                      <c:pt idx="3">
                        <c:v>1164</c:v>
                      </c:pt>
                      <c:pt idx="4">
                        <c:v>#N/A</c:v>
                      </c:pt>
                      <c:pt idx="5">
                        <c:v>1151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1292</c:v>
                      </c:pt>
                      <c:pt idx="10">
                        <c:v>1282</c:v>
                      </c:pt>
                      <c:pt idx="11">
                        <c:v>1320</c:v>
                      </c:pt>
                      <c:pt idx="12">
                        <c:v>1333</c:v>
                      </c:pt>
                      <c:pt idx="13">
                        <c:v>#N/A</c:v>
                      </c:pt>
                      <c:pt idx="14">
                        <c:v>1238</c:v>
                      </c:pt>
                      <c:pt idx="15">
                        <c:v>#N/A</c:v>
                      </c:pt>
                      <c:pt idx="16">
                        <c:v>1191</c:v>
                      </c:pt>
                      <c:pt idx="17">
                        <c:v>1121</c:v>
                      </c:pt>
                      <c:pt idx="18">
                        <c:v>1174</c:v>
                      </c:pt>
                      <c:pt idx="19">
                        <c:v>#N/A</c:v>
                      </c:pt>
                      <c:pt idx="20">
                        <c:v>1163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1414</c:v>
                      </c:pt>
                      <c:pt idx="28">
                        <c:v>1140</c:v>
                      </c:pt>
                      <c:pt idx="29">
                        <c:v>#N/A</c:v>
                      </c:pt>
                      <c:pt idx="30">
                        <c:v>1109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755959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7596500"/>
        <c:crosses val="autoZero"/>
        <c:auto val="1"/>
        <c:lblAlgn val="ctr"/>
        <c:lblOffset val="100"/>
        <c:noMultiLvlLbl val="0"/>
      </c:catAx>
      <c:valAx>
        <c:axId val="8575965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755959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 forceAA="0"/>
          <a:lstStyle/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r>
              <a:t>数据总量占比</a:t>
            </a:r>
          </a:p>
        </c:rich>
      </c:tx>
      <c:layout>
        <c:manualLayout>
          <c:xMode val="edge"/>
          <c:yMode val="edge"/>
          <c:x val="0.0463888888888889"/>
          <c:y val="0.086805555555555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29021298837057"/>
          <c:y val="0.135748200086425"/>
          <c:w val="0.454620056555296"/>
          <c:h val="0.768715707648626"/>
        </c:manualLayout>
      </c:layout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D3E4FC">
                  <a:alpha val="54000"/>
                </a:srgb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A6C4E8"/>
              </a:solidFill>
              <a:ln w="152400">
                <a:solidFill>
                  <a:srgbClr val="A6C4E8"/>
                </a:solidFill>
                <a:miter lim="800000"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工作表条件查询演示!$B$41:$H$41</c15:sqref>
                  </c15:fullRef>
                </c:ext>
              </c:extLst>
              <c:f>(工作表条件查询演示!$B$41,工作表条件查询演示!$D$41,工作表条件查询演示!$F$41,工作表条件查询演示!$H$41)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工作表条件查询演示!$B$42:$H$42</c15:sqref>
                  </c15:fullRef>
                </c:ext>
              </c:extLst>
              <c:f>(工作表条件查询演示!$B$42,工作表条件查询演示!$D$42,工作表条件查询演示!$F$42,工作表条件查询演示!$H$42)</c:f>
              <c:numCache>
                <c:formatCode>0%</c:formatCode>
                <c:ptCount val="4"/>
                <c:pt idx="0">
                  <c:v>0.195053896084824</c:v>
                </c:pt>
                <c:pt idx="1">
                  <c:v>0.369224894998091</c:v>
                </c:pt>
                <c:pt idx="2">
                  <c:v>0.273504273504274</c:v>
                </c:pt>
                <c:pt idx="3">
                  <c:v>0.126061033277528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工作表条件查询演示!$B$41:$H$41</c:f>
              <c:strCache>
                <c:ptCount val="1"/>
                <c:pt idx="0">
                  <c:v>前5名 #N/A 前10名 #N/A 后10名 #N/A 后5名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工作表条件查询演示!$B$41:$H$41</c15:sqref>
                  </c15:fullRef>
                </c:ext>
              </c:extLst>
              <c:f>(工作表条件查询演示!$B$41,工作表条件查询演示!$D$41,工作表条件查询演示!$F$41,工作表条件查询演示!$H$41)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工作表条件查询演示!$B$42:$H$42</c15:sqref>
                  </c15:fullRef>
                </c:ext>
              </c:extLst>
              <c:f>(工作表条件查询演示!$B$42,工作表条件查询演示!$D$42,工作表条件查询演示!$F$42,工作表条件查询演示!$H$42)</c:f>
              <c:numCache>
                <c:formatCode>0%</c:formatCode>
                <c:ptCount val="4"/>
                <c:pt idx="0">
                  <c:v>0.195053896084824</c:v>
                </c:pt>
                <c:pt idx="1">
                  <c:v>0.369224894998091</c:v>
                </c:pt>
                <c:pt idx="2">
                  <c:v>0.273504273504274</c:v>
                </c:pt>
                <c:pt idx="3">
                  <c:v>0.126061033277528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58159841"/>
        <c:axId val="359303872"/>
      </c:barChart>
      <c:catAx>
        <c:axId val="25815984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59303872"/>
        <c:crosses val="autoZero"/>
        <c:auto val="1"/>
        <c:lblAlgn val="ctr"/>
        <c:lblOffset val="100"/>
        <c:noMultiLvlLbl val="0"/>
      </c:catAx>
      <c:valAx>
        <c:axId val="3593038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815984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sz="2000" b="1"/>
              <a:t>单人数据</a:t>
            </a:r>
            <a:endParaRPr sz="2000" b="1"/>
          </a:p>
        </c:rich>
      </c:tx>
      <c:layout>
        <c:manualLayout>
          <c:xMode val="edge"/>
          <c:yMode val="edge"/>
          <c:x val="0.00727546412443552"/>
          <c:y val="0.016049217600642"/>
        </c:manualLayout>
      </c:layout>
      <c:overlay val="0"/>
      <c:spPr>
        <a:solidFill>
          <a:schemeClr val="bg1">
            <a:lumMod val="95000"/>
          </a:schemeClr>
        </a:soli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工作表条件查询制作!$B$96</c:f>
              <c:strCache>
                <c:ptCount val="1"/>
                <c:pt idx="0">
                  <c:v>数量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工作表条件查询制作!$A$97:$A$108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工作表条件查询制作!$B$97:$B$108</c:f>
              <c:numCache>
                <c:formatCode>General</c:formatCode>
                <c:ptCount val="12"/>
                <c:pt idx="0">
                  <c:v>14</c:v>
                </c:pt>
                <c:pt idx="1">
                  <c:v>6</c:v>
                </c:pt>
                <c:pt idx="2">
                  <c:v>43</c:v>
                </c:pt>
                <c:pt idx="3">
                  <c:v>62</c:v>
                </c:pt>
                <c:pt idx="4">
                  <c:v>32</c:v>
                </c:pt>
                <c:pt idx="5">
                  <c:v>65</c:v>
                </c:pt>
                <c:pt idx="6">
                  <c:v>69</c:v>
                </c:pt>
                <c:pt idx="7">
                  <c:v>60</c:v>
                </c:pt>
                <c:pt idx="8">
                  <c:v>73</c:v>
                </c:pt>
                <c:pt idx="9">
                  <c:v>94</c:v>
                </c:pt>
                <c:pt idx="10">
                  <c:v>80</c:v>
                </c:pt>
                <c:pt idx="11">
                  <c:v>24</c:v>
                </c:pt>
              </c:numCache>
            </c:numRef>
          </c:val>
          <c:extLst/>
        </c:ser>
        <c:ser>
          <c:idx val="1"/>
          <c:order val="1"/>
          <c:tx>
            <c:strRef>
              <c:f>工作表条件查询制作!$C$96</c:f>
              <c:strCache>
                <c:ptCount val="1"/>
                <c:pt idx="0">
                  <c:v>最大值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工作表条件查询制作!$A$97:$A$108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工作表条件查询制作!$C$97:$C$108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94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ser>
          <c:idx val="2"/>
          <c:order val="2"/>
          <c:tx>
            <c:strRef>
              <c:f>工作表条件查询制作!$D$96</c:f>
              <c:strCache>
                <c:ptCount val="1"/>
                <c:pt idx="0">
                  <c:v>最小值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工作表条件查询制作!$A$97:$A$108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工作表条件查询制作!$D$97:$D$108</c:f>
              <c:numCache>
                <c:formatCode>General</c:formatCode>
                <c:ptCount val="12"/>
                <c:pt idx="0">
                  <c:v>#N/A</c:v>
                </c:pt>
                <c:pt idx="1">
                  <c:v>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5"/>
        <c:overlap val="100"/>
        <c:axId val="515242910"/>
        <c:axId val="413948831"/>
      </c:barChart>
      <c:catAx>
        <c:axId val="51524291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13948831"/>
        <c:crosses val="autoZero"/>
        <c:auto val="1"/>
        <c:lblAlgn val="ctr"/>
        <c:lblOffset val="100"/>
        <c:noMultiLvlLbl val="0"/>
      </c:catAx>
      <c:valAx>
        <c:axId val="41394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524291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/>
              <a:t>K5</a:t>
            </a:r>
            <a:r>
              <a:rPr altLang="en-US" b="1"/>
              <a:t>日</a:t>
            </a:r>
            <a:r>
              <a:rPr b="1"/>
              <a:t>数据趋势图</a:t>
            </a:r>
            <a:endParaRPr b="1"/>
          </a:p>
        </c:rich>
      </c:tx>
      <c:layout>
        <c:manualLayout>
          <c:xMode val="edge"/>
          <c:yMode val="edge"/>
          <c:x val="0.0104045870377529"/>
          <c:y val="0.014975664545114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工作表条件查询制作!$A$36</c:f>
              <c:strCache>
                <c:ptCount val="1"/>
                <c:pt idx="0">
                  <c:v>计算数据量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lgDash"/>
                <a:headEnd type="none"/>
                <a:tailEnd type="triangle"/>
              </a:ln>
              <a:effectLst/>
            </c:spPr>
            <c:name>K5平均</c:name>
            <c:trendlineType val="movingAvg"/>
            <c:period val="5"/>
            <c:dispRSqr val="0"/>
            <c:dispEq val="0"/>
          </c:trendline>
          <c:val>
            <c:numRef>
              <c:f>工作表条件查询制作!$B$36:$AF$36</c:f>
              <c:numCache>
                <c:formatCode>General</c:formatCode>
                <c:ptCount val="31"/>
                <c:pt idx="0">
                  <c:v>1257</c:v>
                </c:pt>
                <c:pt idx="1">
                  <c:v>1004</c:v>
                </c:pt>
                <c:pt idx="2">
                  <c:v>1209</c:v>
                </c:pt>
                <c:pt idx="3">
                  <c:v>1110</c:v>
                </c:pt>
                <c:pt idx="4">
                  <c:v>901</c:v>
                </c:pt>
                <c:pt idx="5">
                  <c:v>1205</c:v>
                </c:pt>
                <c:pt idx="6">
                  <c:v>1337</c:v>
                </c:pt>
                <c:pt idx="7">
                  <c:v>775</c:v>
                </c:pt>
                <c:pt idx="8">
                  <c:v>1204</c:v>
                </c:pt>
                <c:pt idx="9">
                  <c:v>1170</c:v>
                </c:pt>
                <c:pt idx="10">
                  <c:v>903</c:v>
                </c:pt>
                <c:pt idx="11">
                  <c:v>1079</c:v>
                </c:pt>
                <c:pt idx="12">
                  <c:v>762</c:v>
                </c:pt>
                <c:pt idx="13">
                  <c:v>1129</c:v>
                </c:pt>
                <c:pt idx="14">
                  <c:v>960</c:v>
                </c:pt>
                <c:pt idx="15">
                  <c:v>1251</c:v>
                </c:pt>
                <c:pt idx="16">
                  <c:v>1139</c:v>
                </c:pt>
                <c:pt idx="17">
                  <c:v>1053</c:v>
                </c:pt>
                <c:pt idx="18">
                  <c:v>1358</c:v>
                </c:pt>
                <c:pt idx="19">
                  <c:v>1088</c:v>
                </c:pt>
                <c:pt idx="20">
                  <c:v>960</c:v>
                </c:pt>
                <c:pt idx="21">
                  <c:v>1404</c:v>
                </c:pt>
                <c:pt idx="22">
                  <c:v>914</c:v>
                </c:pt>
                <c:pt idx="23">
                  <c:v>1001</c:v>
                </c:pt>
                <c:pt idx="24">
                  <c:v>811</c:v>
                </c:pt>
                <c:pt idx="25">
                  <c:v>1106</c:v>
                </c:pt>
                <c:pt idx="26">
                  <c:v>1284</c:v>
                </c:pt>
                <c:pt idx="27">
                  <c:v>1133</c:v>
                </c:pt>
                <c:pt idx="28">
                  <c:v>869</c:v>
                </c:pt>
                <c:pt idx="29">
                  <c:v>917</c:v>
                </c:pt>
                <c:pt idx="30">
                  <c:v>1287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工作表条件查询制作!$A$37</c:f>
              <c:strCache>
                <c:ptCount val="1"/>
                <c:pt idx="0">
                  <c:v>辅助线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工作表条件查询制作!$B$37:$AF$37</c:f>
              <c:numCache>
                <c:formatCode>General</c:formatCode>
                <c:ptCount val="31"/>
                <c:pt idx="0">
                  <c:v>1083</c:v>
                </c:pt>
                <c:pt idx="1">
                  <c:v>1083</c:v>
                </c:pt>
                <c:pt idx="2">
                  <c:v>1083</c:v>
                </c:pt>
                <c:pt idx="3">
                  <c:v>1083</c:v>
                </c:pt>
                <c:pt idx="4">
                  <c:v>1083</c:v>
                </c:pt>
                <c:pt idx="5">
                  <c:v>1083</c:v>
                </c:pt>
                <c:pt idx="6">
                  <c:v>1083</c:v>
                </c:pt>
                <c:pt idx="7">
                  <c:v>1083</c:v>
                </c:pt>
                <c:pt idx="8">
                  <c:v>1083</c:v>
                </c:pt>
                <c:pt idx="9">
                  <c:v>1083</c:v>
                </c:pt>
                <c:pt idx="10">
                  <c:v>1083</c:v>
                </c:pt>
                <c:pt idx="11">
                  <c:v>1083</c:v>
                </c:pt>
                <c:pt idx="12">
                  <c:v>1083</c:v>
                </c:pt>
                <c:pt idx="13">
                  <c:v>1083</c:v>
                </c:pt>
                <c:pt idx="14">
                  <c:v>1083</c:v>
                </c:pt>
                <c:pt idx="15">
                  <c:v>1083</c:v>
                </c:pt>
                <c:pt idx="16">
                  <c:v>1083</c:v>
                </c:pt>
                <c:pt idx="17">
                  <c:v>1083</c:v>
                </c:pt>
                <c:pt idx="18">
                  <c:v>1083</c:v>
                </c:pt>
                <c:pt idx="19">
                  <c:v>1083</c:v>
                </c:pt>
                <c:pt idx="20">
                  <c:v>1083</c:v>
                </c:pt>
                <c:pt idx="21">
                  <c:v>1083</c:v>
                </c:pt>
                <c:pt idx="22">
                  <c:v>1083</c:v>
                </c:pt>
                <c:pt idx="23">
                  <c:v>1083</c:v>
                </c:pt>
                <c:pt idx="24">
                  <c:v>1083</c:v>
                </c:pt>
                <c:pt idx="25">
                  <c:v>1083</c:v>
                </c:pt>
                <c:pt idx="26">
                  <c:v>1083</c:v>
                </c:pt>
                <c:pt idx="27">
                  <c:v>1083</c:v>
                </c:pt>
                <c:pt idx="28">
                  <c:v>1083</c:v>
                </c:pt>
                <c:pt idx="29">
                  <c:v>1083</c:v>
                </c:pt>
                <c:pt idx="30">
                  <c:v>1083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工作表条件查询制作!$A$39</c:f>
              <c:strCache>
                <c:ptCount val="1"/>
                <c:pt idx="0">
                  <c:v>低于平均值</c:v>
                </c:pt>
              </c:strCache>
            </c:strRef>
          </c:tx>
          <c:spPr>
            <a:ln w="12700" cap="rnd" cmpd="sng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工作表条件查询制作!$B$39:$AF$39</c:f>
              <c:numCache>
                <c:formatCode>General</c:formatCode>
                <c:ptCount val="31"/>
                <c:pt idx="0">
                  <c:v>#N/A</c:v>
                </c:pt>
                <c:pt idx="1">
                  <c:v>1004</c:v>
                </c:pt>
                <c:pt idx="2">
                  <c:v>1209</c:v>
                </c:pt>
                <c:pt idx="3">
                  <c:v>1110</c:v>
                </c:pt>
                <c:pt idx="4">
                  <c:v>901</c:v>
                </c:pt>
                <c:pt idx="5">
                  <c:v>1205</c:v>
                </c:pt>
                <c:pt idx="6">
                  <c:v>0</c:v>
                </c:pt>
                <c:pt idx="7">
                  <c:v>775</c:v>
                </c:pt>
                <c:pt idx="8">
                  <c:v>#N/A</c:v>
                </c:pt>
                <c:pt idx="9">
                  <c:v>#N/A</c:v>
                </c:pt>
                <c:pt idx="10">
                  <c:v>903</c:v>
                </c:pt>
                <c:pt idx="11">
                  <c:v>1079</c:v>
                </c:pt>
                <c:pt idx="12">
                  <c:v>762</c:v>
                </c:pt>
                <c:pt idx="13">
                  <c:v>#N/A</c:v>
                </c:pt>
                <c:pt idx="14">
                  <c:v>960</c:v>
                </c:pt>
                <c:pt idx="15">
                  <c:v>#N/A</c:v>
                </c:pt>
                <c:pt idx="16">
                  <c:v>#N/A</c:v>
                </c:pt>
                <c:pt idx="17">
                  <c:v>1053</c:v>
                </c:pt>
                <c:pt idx="18">
                  <c:v>#N/A</c:v>
                </c:pt>
                <c:pt idx="19">
                  <c:v>#N/A</c:v>
                </c:pt>
                <c:pt idx="20">
                  <c:v>960</c:v>
                </c:pt>
                <c:pt idx="21">
                  <c:v>#N/A</c:v>
                </c:pt>
                <c:pt idx="22">
                  <c:v>914</c:v>
                </c:pt>
                <c:pt idx="23">
                  <c:v>1001</c:v>
                </c:pt>
                <c:pt idx="24">
                  <c:v>811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869</c:v>
                </c:pt>
                <c:pt idx="29">
                  <c:v>917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559593"/>
        <c:axId val="8575965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工作表条件查询制作!$A$38</c15:sqref>
                        </c15:formulaRef>
                      </c:ext>
                    </c:extLst>
                    <c:strCache>
                      <c:ptCount val="1"/>
                      <c:pt idx="0">
                        <c:v>高于平均值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0" vertOverflow="ellipsis" vert="horz" wrap="square" lIns="38100" tIns="19050" rIns="38100" bIns="19050" anchor="ctr" anchorCtr="1"/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layout/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{1124,1106,1041,1094,#N/A,#N/A,#N/A,#N/A,#N/A,#N/A,1119,#N/A,1277,#N/A,1150,#N/A,#N/A,#N/A,#N/A,#N/A,1387,#N/A,1077,1217,1160,1222,1045,#N/A,1124,1089,#N/A}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1124</c:v>
                      </c:pt>
                      <c:pt idx="1">
                        <c:v>1106</c:v>
                      </c:pt>
                      <c:pt idx="2">
                        <c:v>1041</c:v>
                      </c:pt>
                      <c:pt idx="3">
                        <c:v>1094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1119</c:v>
                      </c:pt>
                      <c:pt idx="11">
                        <c:v>#N/A</c:v>
                      </c:pt>
                      <c:pt idx="12">
                        <c:v>1277</c:v>
                      </c:pt>
                      <c:pt idx="13">
                        <c:v>#N/A</c:v>
                      </c:pt>
                      <c:pt idx="14">
                        <c:v>1150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1387</c:v>
                      </c:pt>
                      <c:pt idx="21">
                        <c:v>#N/A</c:v>
                      </c:pt>
                      <c:pt idx="22">
                        <c:v>1077</c:v>
                      </c:pt>
                      <c:pt idx="23">
                        <c:v>1217</c:v>
                      </c:pt>
                      <c:pt idx="24">
                        <c:v>1160</c:v>
                      </c:pt>
                      <c:pt idx="25">
                        <c:v>1222</c:v>
                      </c:pt>
                      <c:pt idx="26">
                        <c:v>1045</c:v>
                      </c:pt>
                      <c:pt idx="27">
                        <c:v>#N/A</c:v>
                      </c:pt>
                      <c:pt idx="28">
                        <c:v>1124</c:v>
                      </c:pt>
                      <c:pt idx="29">
                        <c:v>1089</c:v>
                      </c:pt>
                      <c:pt idx="30">
                        <c:v>#N/A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755959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7596500"/>
        <c:crosses val="autoZero"/>
        <c:auto val="1"/>
        <c:lblAlgn val="ctr"/>
        <c:lblOffset val="100"/>
        <c:noMultiLvlLbl val="0"/>
      </c:catAx>
      <c:valAx>
        <c:axId val="8575965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755959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0" vertOverflow="ellipsis" vert="horz" wrap="square" anchor="ctr" anchorCtr="1" forceAA="0"/>
          <a:lstStyle/>
          <a:p>
            <a:pPr>
              <a:defRPr lang="zh-CN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微软雅黑" panose="020B0503020204020204" pitchFamily="34" charset="-122"/>
                <a:sym typeface="微软雅黑" panose="020B0503020204020204" pitchFamily="34" charset="-122"/>
              </a:defRPr>
            </a:pPr>
            <a:r>
              <a:t>数据总量占比</a:t>
            </a:r>
          </a:p>
        </c:rich>
      </c:tx>
      <c:layout>
        <c:manualLayout>
          <c:xMode val="edge"/>
          <c:yMode val="edge"/>
          <c:x val="0.0463888888888889"/>
          <c:y val="0.086805555555555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29021298837057"/>
          <c:y val="0.135748200086425"/>
          <c:w val="0.454620056555296"/>
          <c:h val="0.768715707648626"/>
        </c:manualLayout>
      </c:layout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rgbClr val="D3E4FC">
                  <a:alpha val="54000"/>
                </a:srgbClr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rgbClr val="A6C4E8"/>
              </a:solidFill>
              <a:ln w="152400">
                <a:solidFill>
                  <a:srgbClr val="A6C4E8"/>
                </a:solidFill>
                <a:miter lim="800000"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工作表条件查询制作!$B$41:$H$41</c15:sqref>
                  </c15:fullRef>
                </c:ext>
              </c:extLst>
              <c:f>(工作表条件查询制作!$B$41,工作表条件查询制作!$D$41,工作表条件查询制作!$F$41,工作表条件查询制作!$H$41)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工作表条件查询制作!$B$42:$H$42</c15:sqref>
                  </c15:fullRef>
                </c:ext>
              </c:extLst>
              <c:f>(工作表条件查询制作!$B$42,工作表条件查询制作!$D$42,工作表条件查询制作!$F$42,工作表条件查询制作!$H$42)</c:f>
              <c:numCache>
                <c:formatCode>0%</c:formatCode>
                <c:ptCount val="4"/>
                <c:pt idx="0">
                  <c:v>0.198630136986301</c:v>
                </c:pt>
                <c:pt idx="1">
                  <c:v>0.38106015485408</c:v>
                </c:pt>
                <c:pt idx="2">
                  <c:v>0.261226920786182</c:v>
                </c:pt>
                <c:pt idx="3">
                  <c:v>0.12263251935676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工作表条件查询制作!$B$41:$H$41</c:f>
              <c:strCache>
                <c:ptCount val="1"/>
                <c:pt idx="0">
                  <c:v>前5名 #N/A 前10名 #N/A 后10名 #N/A 后5名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工作表条件查询制作!$B$41:$H$41</c15:sqref>
                  </c15:fullRef>
                </c:ext>
              </c:extLst>
              <c:f>(工作表条件查询制作!$B$41,工作表条件查询制作!$D$41,工作表条件查询制作!$F$41,工作表条件查询制作!$H$41)</c:f>
              <c:strCache>
                <c:ptCount val="4"/>
                <c:pt idx="0">
                  <c:v>前5名</c:v>
                </c:pt>
                <c:pt idx="1">
                  <c:v>前10名</c:v>
                </c:pt>
                <c:pt idx="2">
                  <c:v>后10名</c:v>
                </c:pt>
                <c:pt idx="3">
                  <c:v>后5名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工作表条件查询制作!$B$42:$H$42</c15:sqref>
                  </c15:fullRef>
                </c:ext>
              </c:extLst>
              <c:f>(工作表条件查询制作!$B$42,工作表条件查询制作!$D$42,工作表条件查询制作!$F$42,工作表条件查询制作!$H$42)</c:f>
              <c:numCache>
                <c:formatCode>0%</c:formatCode>
                <c:ptCount val="4"/>
                <c:pt idx="0">
                  <c:v>0.198630136986301</c:v>
                </c:pt>
                <c:pt idx="1">
                  <c:v>0.38106015485408</c:v>
                </c:pt>
                <c:pt idx="2">
                  <c:v>0.261226920786182</c:v>
                </c:pt>
                <c:pt idx="3">
                  <c:v>0.12263251935676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58159841"/>
        <c:axId val="359303872"/>
      </c:barChart>
      <c:catAx>
        <c:axId val="25815984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59303872"/>
        <c:crosses val="autoZero"/>
        <c:auto val="1"/>
        <c:lblAlgn val="ctr"/>
        <c:lblOffset val="100"/>
        <c:noMultiLvlLbl val="0"/>
      </c:catAx>
      <c:valAx>
        <c:axId val="3593038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815984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wmf"/><Relationship Id="rId1" Type="http://schemas.openxmlformats.org/officeDocument/2006/relationships/image" Target="../media/image3.w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wmf"/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27</xdr:col>
      <xdr:colOff>41275</xdr:colOff>
      <xdr:row>26</xdr:row>
      <xdr:rowOff>53975</xdr:rowOff>
    </xdr:from>
    <xdr:ext cx="5881370" cy="2557145"/>
    <xdr:sp>
      <xdr:nvSpPr>
        <xdr:cNvPr id="2" name="矩形 1"/>
        <xdr:cNvSpPr/>
      </xdr:nvSpPr>
      <xdr:spPr>
        <a:xfrm>
          <a:off x="5798820" y="4073525"/>
          <a:ext cx="5881370" cy="2557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  <a:scene3d>
            <a:camera prst="orthographicFront"/>
            <a:lightRig rig="threePt" dir="t"/>
          </a:scene3d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WPS Office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  <a:p>
          <a:pPr algn="ctr"/>
          <a:r>
            <a:rPr lang="en-US" altLang="zh-CN" sz="7400" b="1"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2019</a:t>
          </a:r>
          <a:endParaRPr lang="en-US" altLang="zh-CN" sz="7400" b="1"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twoCellAnchor>
    <xdr:from>
      <xdr:col>17</xdr:col>
      <xdr:colOff>60325</xdr:colOff>
      <xdr:row>26</xdr:row>
      <xdr:rowOff>144145</xdr:rowOff>
    </xdr:from>
    <xdr:to>
      <xdr:col>27</xdr:col>
      <xdr:colOff>5715</xdr:colOff>
      <xdr:row>41</xdr:row>
      <xdr:rowOff>87630</xdr:rowOff>
    </xdr:to>
    <xdr:grpSp>
      <xdr:nvGrpSpPr>
        <xdr:cNvPr id="3" name="组合 2"/>
        <xdr:cNvGrpSpPr/>
      </xdr:nvGrpSpPr>
      <xdr:grpSpPr>
        <a:xfrm rot="20280000">
          <a:off x="3627120" y="4163695"/>
          <a:ext cx="2136140" cy="2515235"/>
          <a:chOff x="3268" y="5624"/>
          <a:chExt cx="4035" cy="3960"/>
        </a:xfrm>
      </xdr:grpSpPr>
      <xdr:pic>
        <xdr:nvPicPr>
          <xdr:cNvPr id="4" name="图片 3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820000">
            <a:off x="3268" y="5624"/>
            <a:ext cx="3050" cy="3050"/>
          </a:xfrm>
          <a:prstGeom prst="rect">
            <a:avLst/>
          </a:prstGeom>
          <a:effectLst>
            <a:outerShdw blurRad="63500" dist="190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5" name="图片 4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540000">
            <a:off x="3768" y="5884"/>
            <a:ext cx="3050" cy="3050"/>
          </a:xfrm>
          <a:prstGeom prst="rect">
            <a:avLst/>
          </a:prstGeom>
          <a:ln w="12700" cmpd="sng">
            <a:solidFill>
              <a:schemeClr val="bg1"/>
            </a:solidFill>
            <a:prstDash val="sysDot"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  <a:softEdge rad="31750"/>
          </a:effectLst>
        </xdr:spPr>
      </xdr:pic>
      <xdr:pic>
        <xdr:nvPicPr>
          <xdr:cNvPr id="6" name="图片 5" descr="Excel_2013_256px_1180012_easyicon.net"/>
          <xdr:cNvPicPr>
            <a:picLocks noChangeAspect="1"/>
          </xdr:cNvPicPr>
        </xdr:nvPicPr>
        <xdr:blipFill>
          <a:blip r:embed="rId1"/>
          <a:stretch>
            <a:fillRect/>
          </a:stretch>
        </xdr:blipFill>
        <xdr:spPr>
          <a:xfrm rot="2040000">
            <a:off x="4253" y="6534"/>
            <a:ext cx="3050" cy="3050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31750"/>
          </a:effectLst>
        </xdr:spPr>
      </xdr:pic>
    </xdr:grpSp>
    <xdr:clientData/>
  </xdr:twoCellAnchor>
  <xdr:twoCellAnchor editAs="oneCell">
    <xdr:from>
      <xdr:col>1</xdr:col>
      <xdr:colOff>47625</xdr:colOff>
      <xdr:row>1</xdr:row>
      <xdr:rowOff>26035</xdr:rowOff>
    </xdr:from>
    <xdr:to>
      <xdr:col>19</xdr:col>
      <xdr:colOff>147955</xdr:colOff>
      <xdr:row>26</xdr:row>
      <xdr:rowOff>64135</xdr:rowOff>
    </xdr:to>
    <xdr:pic>
      <xdr:nvPicPr>
        <xdr:cNvPr id="7" name="图片 6" descr="Excel_1024px_1185986_easyicon.net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66700" y="197485"/>
          <a:ext cx="3886200" cy="3886200"/>
        </a:xfrm>
        <a:prstGeom prst="rect">
          <a:avLst/>
        </a:prstGeom>
      </xdr:spPr>
    </xdr:pic>
    <xdr:clientData/>
  </xdr:twoCellAnchor>
  <xdr:oneCellAnchor>
    <xdr:from>
      <xdr:col>25</xdr:col>
      <xdr:colOff>193040</xdr:colOff>
      <xdr:row>26</xdr:row>
      <xdr:rowOff>57150</xdr:rowOff>
    </xdr:from>
    <xdr:ext cx="6476365" cy="2658745"/>
    <xdr:sp>
      <xdr:nvSpPr>
        <xdr:cNvPr id="8" name="矩形 7"/>
        <xdr:cNvSpPr/>
      </xdr:nvSpPr>
      <xdr:spPr>
        <a:xfrm>
          <a:off x="5512435" y="4076700"/>
          <a:ext cx="6476365" cy="2658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WPS Office</a:t>
          </a:r>
          <a:endParaRPr lang="en-US" altLang="zh-CN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  <a:p>
          <a:pPr algn="ctr"/>
          <a:r>
            <a:rPr lang="en-US" altLang="zh-CN" sz="73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2019</a:t>
          </a:r>
          <a:endParaRPr lang="zh-CN" altLang="en-US" sz="73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oneCellAnchor>
    <xdr:from>
      <xdr:col>17</xdr:col>
      <xdr:colOff>107950</xdr:colOff>
      <xdr:row>8</xdr:row>
      <xdr:rowOff>146685</xdr:rowOff>
    </xdr:from>
    <xdr:ext cx="8617585" cy="1141095"/>
    <xdr:sp>
      <xdr:nvSpPr>
        <xdr:cNvPr id="9" name="矩形 8"/>
        <xdr:cNvSpPr/>
      </xdr:nvSpPr>
      <xdr:spPr>
        <a:xfrm>
          <a:off x="3674745" y="1384935"/>
          <a:ext cx="8617585" cy="1141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6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Arial Black" panose="020B0A04020102020204" pitchFamily="34" charset="0"/>
            </a:rPr>
            <a:t>5分钟 Excel 使用技巧</a:t>
          </a:r>
          <a:endParaRPr lang="zh-CN" altLang="en-US" sz="6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Arial Black" panose="020B0A04020102020204" pitchFamily="34" charset="0"/>
          </a:endParaRPr>
        </a:p>
      </xdr:txBody>
    </xdr:sp>
    <xdr:clientData/>
  </xdr:oneCellAnchor>
  <xdr:oneCellAnchor>
    <xdr:from>
      <xdr:col>43</xdr:col>
      <xdr:colOff>187325</xdr:colOff>
      <xdr:row>43</xdr:row>
      <xdr:rowOff>97155</xdr:rowOff>
    </xdr:from>
    <xdr:ext cx="3654425" cy="989330"/>
    <xdr:sp>
      <xdr:nvSpPr>
        <xdr:cNvPr id="10" name="矩形 9"/>
        <xdr:cNvSpPr/>
      </xdr:nvSpPr>
      <xdr:spPr>
        <a:xfrm>
          <a:off x="9450070" y="7031355"/>
          <a:ext cx="3654425" cy="989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本视频仅用作Excel宏使用示范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视频使用Excel源文件，请邮件致：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r>
            <a:rPr lang="zh-CN" altLang="en-US" sz="1800" b="1">
              <a:ln w="28575" cmpd="dbl">
                <a:noFill/>
                <a:prstDash val="solid"/>
              </a:ln>
              <a:solidFill>
                <a:schemeClr val="bg2">
                  <a:alpha val="48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Email：2791302846@qq.com</a:t>
          </a:r>
          <a:endParaRPr lang="zh-CN" altLang="en-US" sz="1800" b="1">
            <a:ln w="28575" cmpd="dbl">
              <a:noFill/>
              <a:prstDash val="solid"/>
            </a:ln>
            <a:solidFill>
              <a:schemeClr val="bg2">
                <a:alpha val="48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14</xdr:col>
      <xdr:colOff>30480</xdr:colOff>
      <xdr:row>75</xdr:row>
      <xdr:rowOff>23495</xdr:rowOff>
    </xdr:from>
    <xdr:to>
      <xdr:col>25</xdr:col>
      <xdr:colOff>581660</xdr:colOff>
      <xdr:row>103</xdr:row>
      <xdr:rowOff>129540</xdr:rowOff>
    </xdr:to>
    <xdr:grpSp>
      <xdr:nvGrpSpPr>
        <xdr:cNvPr id="4" name="组合 3"/>
        <xdr:cNvGrpSpPr/>
      </xdr:nvGrpSpPr>
      <xdr:grpSpPr>
        <a:xfrm>
          <a:off x="8069580" y="13482320"/>
          <a:ext cx="7132955" cy="4906645"/>
          <a:chOff x="12281" y="23084"/>
          <a:chExt cx="12283" cy="7259"/>
        </a:xfrm>
      </xdr:grpSpPr>
      <xdr:graphicFrame>
        <xdr:nvGraphicFramePr>
          <xdr:cNvPr id="2" name="图表 1"/>
          <xdr:cNvGraphicFramePr/>
        </xdr:nvGraphicFramePr>
        <xdr:xfrm>
          <a:off x="12281" y="23084"/>
          <a:ext cx="12283" cy="72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>
            <xdr:nvSpPr>
              <xdr:cNvPr id="1026" name="ComboBox1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22574" y="23240"/>
                <a:ext cx="1748" cy="460"/>
              </a:xfrm>
              <a:prstGeom prst="rect">
                <a:avLst/>
              </a:prstGeom>
            </xdr:spPr>
          </xdr:sp>
        </mc:Choice>
        <mc:Fallback/>
      </mc:AlternateContent>
    </xdr:grpSp>
    <xdr:clientData/>
  </xdr:twoCellAnchor>
  <xdr:twoCellAnchor>
    <xdr:from>
      <xdr:col>1</xdr:col>
      <xdr:colOff>10795</xdr:colOff>
      <xdr:row>43</xdr:row>
      <xdr:rowOff>13970</xdr:rowOff>
    </xdr:from>
    <xdr:to>
      <xdr:col>17</xdr:col>
      <xdr:colOff>603250</xdr:colOff>
      <xdr:row>72</xdr:row>
      <xdr:rowOff>160020</xdr:rowOff>
    </xdr:to>
    <xdr:graphicFrame>
      <xdr:nvGraphicFramePr>
        <xdr:cNvPr id="3" name="图表 2"/>
        <xdr:cNvGraphicFramePr/>
      </xdr:nvGraphicFramePr>
      <xdr:xfrm>
        <a:off x="991870" y="7986395"/>
        <a:ext cx="9279255" cy="51181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20320</xdr:colOff>
      <xdr:row>43</xdr:row>
      <xdr:rowOff>10795</xdr:rowOff>
    </xdr:from>
    <xdr:to>
      <xdr:col>25</xdr:col>
      <xdr:colOff>589280</xdr:colOff>
      <xdr:row>57</xdr:row>
      <xdr:rowOff>160020</xdr:rowOff>
    </xdr:to>
    <xdr:graphicFrame>
      <xdr:nvGraphicFramePr>
        <xdr:cNvPr id="10" name="图表 9"/>
        <xdr:cNvGraphicFramePr/>
      </xdr:nvGraphicFramePr>
      <xdr:xfrm>
        <a:off x="10307320" y="7983220"/>
        <a:ext cx="4902835" cy="2549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635</xdr:colOff>
      <xdr:row>0</xdr:row>
      <xdr:rowOff>133985</xdr:rowOff>
    </xdr:from>
    <xdr:ext cx="6572885" cy="1033780"/>
    <xdr:sp>
      <xdr:nvSpPr>
        <xdr:cNvPr id="11" name="矩形 10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7</xdr:row>
          <xdr:rowOff>36195</xdr:rowOff>
        </xdr:from>
        <xdr:to>
          <xdr:col>2</xdr:col>
          <xdr:colOff>153035</xdr:colOff>
          <xdr:row>8</xdr:row>
          <xdr:rowOff>160655</xdr:rowOff>
        </xdr:to>
        <xdr:sp>
          <xdr:nvSpPr>
            <xdr:cNvPr id="1025" name="Toggle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85725" y="1245870"/>
              <a:ext cx="1591310" cy="30543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18</xdr:col>
      <xdr:colOff>19050</xdr:colOff>
      <xdr:row>58</xdr:row>
      <xdr:rowOff>10795</xdr:rowOff>
    </xdr:from>
    <xdr:to>
      <xdr:col>25</xdr:col>
      <xdr:colOff>584835</xdr:colOff>
      <xdr:row>72</xdr:row>
      <xdr:rowOff>147955</xdr:rowOff>
    </xdr:to>
    <xdr:graphicFrame>
      <xdr:nvGraphicFramePr>
        <xdr:cNvPr id="12" name="图表 11"/>
        <xdr:cNvGraphicFramePr/>
      </xdr:nvGraphicFramePr>
      <xdr:xfrm>
        <a:off x="10306050" y="10554970"/>
        <a:ext cx="4899660" cy="25374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4</xdr:col>
      <xdr:colOff>0</xdr:colOff>
      <xdr:row>94</xdr:row>
      <xdr:rowOff>0</xdr:rowOff>
    </xdr:from>
    <xdr:ext cx="4580890" cy="835660"/>
    <xdr:sp>
      <xdr:nvSpPr>
        <xdr:cNvPr id="7" name="文本框 6"/>
        <xdr:cNvSpPr txBox="1"/>
      </xdr:nvSpPr>
      <xdr:spPr>
        <a:xfrm>
          <a:off x="2609850" y="16716375"/>
          <a:ext cx="4580890" cy="8356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>
              <a:sym typeface="+mn-ea"/>
            </a:rPr>
            <a:t>{ </a:t>
          </a:r>
          <a:r>
            <a:rPr lang="zh-CN" altLang="en-US">
              <a:sym typeface="+mn-ea"/>
            </a:rPr>
            <a:t>OFFSET函数 </a:t>
          </a:r>
          <a:r>
            <a:rPr lang="en-US" altLang="zh-CN">
              <a:sym typeface="+mn-ea"/>
            </a:rPr>
            <a:t>}</a:t>
          </a:r>
          <a:endParaRPr lang="zh-CN" altLang="en-US" sz="1100"/>
        </a:p>
        <a:p>
          <a:pPr algn="l"/>
          <a:r>
            <a:rPr lang="zh-CN" altLang="en-US" sz="1100"/>
            <a:t>使用的是OFFSET函数，获取指定单元格向右移动ROW(1:1)-1列，</a:t>
          </a:r>
          <a:endParaRPr lang="zh-CN" altLang="en-US" sz="1100"/>
        </a:p>
        <a:p>
          <a:pPr algn="l"/>
          <a:r>
            <a:rPr lang="zh-CN" altLang="en-US" sz="1100"/>
            <a:t>ROW(1:1)第1行，ROW(12:12)第12行，把B1单元格的向右移动11列，即得到M1</a:t>
          </a:r>
          <a:r>
            <a:rPr lang="en-US" altLang="zh-CN" sz="1100"/>
            <a:t>2</a:t>
          </a:r>
          <a:r>
            <a:rPr lang="zh-CN" altLang="en-US" sz="1100"/>
            <a:t>的内容：12月</a:t>
          </a:r>
          <a:endParaRPr lang="zh-CN" altLang="en-US" sz="1100"/>
        </a:p>
      </xdr:txBody>
    </xdr:sp>
    <xdr:clientData/>
  </xdr:oneCellAnchor>
  <xdr:oneCellAnchor>
    <xdr:from>
      <xdr:col>4</xdr:col>
      <xdr:colOff>0</xdr:colOff>
      <xdr:row>99</xdr:row>
      <xdr:rowOff>0</xdr:rowOff>
    </xdr:from>
    <xdr:ext cx="4621530" cy="463550"/>
    <xdr:sp>
      <xdr:nvSpPr>
        <xdr:cNvPr id="8" name="文本框 7"/>
        <xdr:cNvSpPr txBox="1"/>
      </xdr:nvSpPr>
      <xdr:spPr>
        <a:xfrm>
          <a:off x="2609850" y="17573625"/>
          <a:ext cx="4621530" cy="46355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>
              <a:sym typeface="+mn-ea"/>
            </a:rPr>
            <a:t>{ INDEX</a:t>
          </a:r>
          <a:r>
            <a:rPr lang="zh-CN" altLang="en-US">
              <a:sym typeface="+mn-ea"/>
            </a:rPr>
            <a:t>函数 </a:t>
          </a:r>
          <a:r>
            <a:rPr lang="en-US" altLang="zh-CN">
              <a:sym typeface="+mn-ea"/>
            </a:rPr>
            <a:t>}</a:t>
          </a:r>
          <a:endParaRPr lang="zh-CN" altLang="en-US" sz="1100"/>
        </a:p>
        <a:p>
          <a:pPr algn="l"/>
          <a:r>
            <a:rPr lang="zh-CN" altLang="en-US" sz="1100"/>
            <a:t>使用的是</a:t>
          </a:r>
          <a:r>
            <a:rPr lang="en-US" altLang="zh-CN" sz="1100"/>
            <a:t>INDEX</a:t>
          </a:r>
          <a:r>
            <a:rPr lang="zh-CN" altLang="en-US" sz="1100"/>
            <a:t>函数，目的定位指定的行序列与列序列互相交叉的数值</a:t>
          </a:r>
          <a:endParaRPr lang="en-US" altLang="zh-CN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5</xdr:col>
      <xdr:colOff>13970</xdr:colOff>
      <xdr:row>95</xdr:row>
      <xdr:rowOff>22225</xdr:rowOff>
    </xdr:from>
    <xdr:to>
      <xdr:col>22</xdr:col>
      <xdr:colOff>607695</xdr:colOff>
      <xdr:row>119</xdr:row>
      <xdr:rowOff>155575</xdr:rowOff>
    </xdr:to>
    <xdr:grpSp>
      <xdr:nvGrpSpPr>
        <xdr:cNvPr id="7" name="组合 6"/>
        <xdr:cNvGrpSpPr/>
      </xdr:nvGrpSpPr>
      <xdr:grpSpPr>
        <a:xfrm>
          <a:off x="3166745" y="17665700"/>
          <a:ext cx="10204450" cy="4826000"/>
          <a:chOff x="4969" y="27309"/>
          <a:chExt cx="15944" cy="7477"/>
        </a:xfrm>
      </xdr:grpSpPr>
      <xdr:graphicFrame>
        <xdr:nvGraphicFramePr>
          <xdr:cNvPr id="5" name="图表 4"/>
          <xdr:cNvGraphicFramePr/>
        </xdr:nvGraphicFramePr>
        <xdr:xfrm>
          <a:off x="4969" y="27309"/>
          <a:ext cx="15944" cy="747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>
            <xdr:nvSpPr>
              <xdr:cNvPr id="7170" name="ComboBox1" hidden="1">
                <a:extLst>
                  <a:ext uri="{63B3BB69-23CF-44E3-9099-C40C66FF867C}">
                    <a14:compatExt spid="_x0000_s7170"/>
                  </a:ext>
                </a:extLst>
              </xdr:cNvPr>
              <xdr:cNvSpPr/>
            </xdr:nvSpPr>
            <xdr:spPr>
              <a:xfrm>
                <a:off x="18763" y="27468"/>
                <a:ext cx="1592" cy="465"/>
              </a:xfrm>
              <a:prstGeom prst="rect">
                <a:avLst/>
              </a:prstGeom>
            </xdr:spPr>
          </xdr:sp>
        </mc:Choice>
        <mc:Fallback/>
      </mc:AlternateContent>
    </xdr:grpSp>
    <xdr:clientData/>
  </xdr:twoCellAnchor>
  <xdr:twoCellAnchor>
    <xdr:from>
      <xdr:col>1</xdr:col>
      <xdr:colOff>10795</xdr:colOff>
      <xdr:row>43</xdr:row>
      <xdr:rowOff>13970</xdr:rowOff>
    </xdr:from>
    <xdr:to>
      <xdr:col>17</xdr:col>
      <xdr:colOff>603250</xdr:colOff>
      <xdr:row>72</xdr:row>
      <xdr:rowOff>160020</xdr:rowOff>
    </xdr:to>
    <xdr:graphicFrame>
      <xdr:nvGraphicFramePr>
        <xdr:cNvPr id="2" name="图表 1"/>
        <xdr:cNvGraphicFramePr/>
      </xdr:nvGraphicFramePr>
      <xdr:xfrm>
        <a:off x="991870" y="7986395"/>
        <a:ext cx="9279255" cy="51181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20320</xdr:colOff>
      <xdr:row>43</xdr:row>
      <xdr:rowOff>10795</xdr:rowOff>
    </xdr:from>
    <xdr:to>
      <xdr:col>25</xdr:col>
      <xdr:colOff>589280</xdr:colOff>
      <xdr:row>57</xdr:row>
      <xdr:rowOff>160020</xdr:rowOff>
    </xdr:to>
    <xdr:graphicFrame>
      <xdr:nvGraphicFramePr>
        <xdr:cNvPr id="3" name="图表 2"/>
        <xdr:cNvGraphicFramePr/>
      </xdr:nvGraphicFramePr>
      <xdr:xfrm>
        <a:off x="10307320" y="7983220"/>
        <a:ext cx="4902835" cy="2549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635</xdr:colOff>
      <xdr:row>0</xdr:row>
      <xdr:rowOff>133985</xdr:rowOff>
    </xdr:from>
    <xdr:ext cx="6572885" cy="1033780"/>
    <xdr:sp>
      <xdr:nvSpPr>
        <xdr:cNvPr id="4" name="矩形 3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7</xdr:row>
          <xdr:rowOff>36195</xdr:rowOff>
        </xdr:from>
        <xdr:to>
          <xdr:col>2</xdr:col>
          <xdr:colOff>153035</xdr:colOff>
          <xdr:row>8</xdr:row>
          <xdr:rowOff>160655</xdr:rowOff>
        </xdr:to>
        <xdr:sp>
          <xdr:nvSpPr>
            <xdr:cNvPr id="7169" name="Toggle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85725" y="1245870"/>
              <a:ext cx="1591310" cy="30543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18</xdr:col>
      <xdr:colOff>19050</xdr:colOff>
      <xdr:row>58</xdr:row>
      <xdr:rowOff>10795</xdr:rowOff>
    </xdr:from>
    <xdr:to>
      <xdr:col>25</xdr:col>
      <xdr:colOff>584835</xdr:colOff>
      <xdr:row>72</xdr:row>
      <xdr:rowOff>147955</xdr:rowOff>
    </xdr:to>
    <xdr:graphicFrame>
      <xdr:nvGraphicFramePr>
        <xdr:cNvPr id="6" name="图表 5"/>
        <xdr:cNvGraphicFramePr/>
      </xdr:nvGraphicFramePr>
      <xdr:xfrm>
        <a:off x="10306050" y="10554970"/>
        <a:ext cx="4899660" cy="25374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13</xdr:col>
      <xdr:colOff>0</xdr:colOff>
      <xdr:row>82</xdr:row>
      <xdr:rowOff>0</xdr:rowOff>
    </xdr:from>
    <xdr:ext cx="4580890" cy="835660"/>
    <xdr:sp>
      <xdr:nvSpPr>
        <xdr:cNvPr id="10" name="文本框 9"/>
        <xdr:cNvSpPr txBox="1"/>
      </xdr:nvSpPr>
      <xdr:spPr>
        <a:xfrm>
          <a:off x="7496175" y="14925675"/>
          <a:ext cx="4580890" cy="83566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>
              <a:sym typeface="+mn-ea"/>
            </a:rPr>
            <a:t>{ </a:t>
          </a:r>
          <a:r>
            <a:rPr lang="zh-CN" altLang="en-US">
              <a:sym typeface="+mn-ea"/>
            </a:rPr>
            <a:t>OFFSET函数 </a:t>
          </a:r>
          <a:r>
            <a:rPr lang="en-US" altLang="zh-CN">
              <a:sym typeface="+mn-ea"/>
            </a:rPr>
            <a:t>}</a:t>
          </a:r>
          <a:endParaRPr lang="zh-CN" altLang="en-US" sz="1100"/>
        </a:p>
        <a:p>
          <a:pPr algn="l"/>
          <a:r>
            <a:rPr lang="zh-CN" altLang="en-US" sz="1100"/>
            <a:t>使用的是OFFSET函数，获取指定单元格向右移动ROW(1:1)-1列，</a:t>
          </a:r>
          <a:endParaRPr lang="zh-CN" altLang="en-US" sz="1100"/>
        </a:p>
        <a:p>
          <a:pPr algn="l"/>
          <a:r>
            <a:rPr lang="zh-CN" altLang="en-US" sz="1100"/>
            <a:t>ROW(1:1)第1行，ROW(12:12)第12行，把B1单元格的向右移动11列，即得到M1</a:t>
          </a:r>
          <a:r>
            <a:rPr lang="en-US" altLang="zh-CN" sz="1100"/>
            <a:t>2</a:t>
          </a:r>
          <a:r>
            <a:rPr lang="zh-CN" altLang="en-US" sz="1100"/>
            <a:t>的内容：12月</a:t>
          </a:r>
          <a:endParaRPr lang="zh-CN" altLang="en-US" sz="1100"/>
        </a:p>
      </xdr:txBody>
    </xdr:sp>
    <xdr:clientData/>
  </xdr:oneCellAnchor>
  <xdr:oneCellAnchor>
    <xdr:from>
      <xdr:col>13</xdr:col>
      <xdr:colOff>0</xdr:colOff>
      <xdr:row>86</xdr:row>
      <xdr:rowOff>0</xdr:rowOff>
    </xdr:from>
    <xdr:ext cx="4621530" cy="539750"/>
    <xdr:sp>
      <xdr:nvSpPr>
        <xdr:cNvPr id="11" name="文本框 10"/>
        <xdr:cNvSpPr txBox="1"/>
      </xdr:nvSpPr>
      <xdr:spPr>
        <a:xfrm>
          <a:off x="7496175" y="15789275"/>
          <a:ext cx="4621530" cy="53975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>
              <a:sym typeface="+mn-ea"/>
            </a:rPr>
            <a:t>{ INDEX</a:t>
          </a:r>
          <a:r>
            <a:rPr lang="zh-CN" altLang="en-US">
              <a:sym typeface="+mn-ea"/>
            </a:rPr>
            <a:t>函数 </a:t>
          </a:r>
          <a:r>
            <a:rPr lang="en-US" altLang="zh-CN">
              <a:sym typeface="+mn-ea"/>
            </a:rPr>
            <a:t>}</a:t>
          </a:r>
          <a:endParaRPr lang="zh-CN" altLang="en-US" sz="1100"/>
        </a:p>
        <a:p>
          <a:pPr algn="l"/>
          <a:r>
            <a:rPr lang="zh-CN" altLang="en-US" sz="1100"/>
            <a:t>使用的是</a:t>
          </a:r>
          <a:r>
            <a:rPr lang="en-US" altLang="zh-CN" sz="1100"/>
            <a:t>INDEX</a:t>
          </a:r>
          <a:r>
            <a:rPr lang="zh-CN" altLang="en-US" sz="1100"/>
            <a:t>函数，目的定位指定的行序列与列序列互相交叉的数值</a:t>
          </a:r>
          <a:endParaRPr lang="en-US" altLang="zh-CN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635</xdr:colOff>
      <xdr:row>0</xdr:row>
      <xdr:rowOff>133985</xdr:rowOff>
    </xdr:from>
    <xdr:ext cx="6572885" cy="1033780"/>
    <xdr:sp>
      <xdr:nvSpPr>
        <xdr:cNvPr id="2" name="矩形 1"/>
        <xdr:cNvSpPr/>
      </xdr:nvSpPr>
      <xdr:spPr>
        <a:xfrm>
          <a:off x="635" y="133985"/>
          <a:ext cx="6572885" cy="103378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7200" b="1"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ernard MT Condensed" panose="02050806060905020404" charset="0"/>
              <a:cs typeface="Bernard MT Condensed" panose="02050806060905020404" charset="0"/>
            </a:rPr>
            <a:t>Excel Add King</a:t>
          </a:r>
          <a:endParaRPr lang="zh-CN" altLang="en-US" sz="7200" b="1"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ernard MT Condensed" panose="02050806060905020404" charset="0"/>
            <a:cs typeface="Bernard MT Condensed" panose="02050806060905020404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&#19977;&#32423;&#32852;&#2116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联动演示"/>
      <sheetName val="一级数据"/>
      <sheetName val="二级数据"/>
      <sheetName val="三级数据"/>
      <sheetName val="四级数据"/>
      <sheetName val="联动制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image" Target="../media/image4.wmf"/><Relationship Id="rId5" Type="http://schemas.openxmlformats.org/officeDocument/2006/relationships/control" Target="../activeX/activeX2.xml"/><Relationship Id="rId4" Type="http://schemas.openxmlformats.org/officeDocument/2006/relationships/image" Target="../media/image3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4.wmf"/><Relationship Id="rId5" Type="http://schemas.openxmlformats.org/officeDocument/2006/relationships/control" Target="../activeX/activeX4.xml"/><Relationship Id="rId4" Type="http://schemas.openxmlformats.org/officeDocument/2006/relationships/image" Target="../media/image5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BK52"/>
  <sheetViews>
    <sheetView zoomScale="85" zoomScaleNormal="85" workbookViewId="0">
      <selection activeCell="A1" sqref="A1"/>
    </sheetView>
  </sheetViews>
  <sheetFormatPr defaultColWidth="2.875" defaultRowHeight="13.5"/>
  <cols>
    <col min="1" max="1" width="2.875" style="4" customWidth="1"/>
    <col min="2" max="2" width="0.808333333333333" style="4" customWidth="1"/>
    <col min="3" max="62" width="2.875" style="4" customWidth="1"/>
    <col min="63" max="63" width="0.808333333333333" style="4" customWidth="1"/>
    <col min="64" max="16367" width="2.875" style="4" customWidth="1"/>
    <col min="16368" max="16384" width="2.875" style="4"/>
  </cols>
  <sheetData>
    <row r="2" s="4" customFormat="1" ht="3" customHeight="1" spans="2:63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</row>
    <row r="3" spans="2:63">
      <c r="B3" s="5"/>
      <c r="BK3" s="5"/>
    </row>
    <row r="4" spans="2:63">
      <c r="B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K4" s="5"/>
    </row>
    <row r="5" spans="2:63">
      <c r="B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K5" s="5"/>
    </row>
    <row r="6" spans="2:63">
      <c r="B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K6" s="5"/>
    </row>
    <row r="7" spans="2:63">
      <c r="B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K7" s="5"/>
    </row>
    <row r="8" spans="2:63">
      <c r="B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K8" s="5"/>
    </row>
    <row r="9" spans="2:63">
      <c r="B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K9" s="5"/>
    </row>
    <row r="10" spans="2:63">
      <c r="B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K10" s="5"/>
    </row>
    <row r="11" spans="2:63">
      <c r="B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K11" s="5"/>
    </row>
    <row r="12" spans="2:63">
      <c r="B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K12" s="5"/>
    </row>
    <row r="13" spans="2:63">
      <c r="B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K13" s="5"/>
    </row>
    <row r="14" ht="1.5" customHeight="1" spans="2:63">
      <c r="B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K14" s="5"/>
    </row>
    <row r="15" customHeight="1" spans="2:63">
      <c r="B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K15" s="5"/>
    </row>
    <row r="16" customHeight="1" spans="2:63">
      <c r="B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K16" s="5"/>
    </row>
    <row r="17" ht="1.5" customHeight="1" spans="2:63">
      <c r="B17" s="5"/>
      <c r="D17" s="5"/>
      <c r="E17" s="5"/>
      <c r="F17" s="5"/>
      <c r="G17" s="5"/>
      <c r="H17" s="5"/>
      <c r="I17" s="5"/>
      <c r="J17" s="5"/>
      <c r="K17" s="5"/>
      <c r="BG17" s="5"/>
      <c r="BH17" s="5"/>
      <c r="BI17" s="5"/>
      <c r="BK17" s="5"/>
    </row>
    <row r="18" spans="2:63">
      <c r="B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K18" s="5"/>
    </row>
    <row r="19" spans="2:63">
      <c r="B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K19" s="5"/>
    </row>
    <row r="20" spans="2:63">
      <c r="B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K20" s="5"/>
    </row>
    <row r="21" spans="2:63">
      <c r="B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K21" s="5"/>
    </row>
    <row r="22" spans="2:63">
      <c r="B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K22" s="5"/>
    </row>
    <row r="23" spans="2:6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K23" s="5"/>
    </row>
    <row r="24" spans="2:63">
      <c r="B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K24" s="5"/>
    </row>
    <row r="25" spans="2:63">
      <c r="B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K25" s="5"/>
    </row>
    <row r="26" spans="2:63">
      <c r="B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K26" s="5"/>
    </row>
    <row r="27" spans="2:63">
      <c r="B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K27" s="5"/>
    </row>
    <row r="28" spans="2:63">
      <c r="B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K28" s="5"/>
    </row>
    <row r="29" spans="2:63">
      <c r="B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K29" s="5"/>
    </row>
    <row r="30" spans="2:63">
      <c r="B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K30" s="5"/>
    </row>
    <row r="31" spans="2:63">
      <c r="B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K31" s="5"/>
    </row>
    <row r="32" spans="2:63">
      <c r="B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K32" s="5"/>
    </row>
    <row r="33" spans="2:63">
      <c r="B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K33" s="5"/>
    </row>
    <row r="34" spans="2:63">
      <c r="B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K34" s="5"/>
    </row>
    <row r="35" spans="2:63">
      <c r="B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K35" s="5"/>
    </row>
    <row r="36" spans="2:63">
      <c r="B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K36" s="5"/>
    </row>
    <row r="37" spans="2:63">
      <c r="B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K37" s="5"/>
    </row>
    <row r="38" spans="2:63">
      <c r="B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K38" s="5"/>
    </row>
    <row r="39" spans="2:63">
      <c r="B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K39" s="5"/>
    </row>
    <row r="40" spans="2:63">
      <c r="B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K40" s="5"/>
    </row>
    <row r="41" spans="2:63">
      <c r="B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K41" s="5"/>
    </row>
    <row r="42" spans="2:63">
      <c r="B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K42" s="5"/>
    </row>
    <row r="43" spans="2:63">
      <c r="B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K43" s="5"/>
    </row>
    <row r="44" spans="2:63">
      <c r="B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K44" s="5"/>
    </row>
    <row r="45" spans="2:63">
      <c r="B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K45" s="5"/>
    </row>
    <row r="46" spans="2:63">
      <c r="B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K46" s="5"/>
    </row>
    <row r="47" spans="2:63">
      <c r="B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K47" s="5"/>
    </row>
    <row r="48" spans="2:63">
      <c r="B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K48" s="5"/>
    </row>
    <row r="49" spans="2:63">
      <c r="B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K49" s="5"/>
    </row>
    <row r="50" spans="2:63">
      <c r="B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K50" s="5"/>
    </row>
    <row r="51" spans="2:63">
      <c r="B51" s="5"/>
      <c r="BK51" s="5"/>
    </row>
    <row r="52" s="4" customFormat="1" ht="3" customHeight="1" spans="2:63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F116"/>
  <sheetViews>
    <sheetView zoomScale="85" zoomScaleNormal="85" workbookViewId="0">
      <selection activeCell="A1" sqref="A1"/>
    </sheetView>
  </sheetViews>
  <sheetFormatPr defaultColWidth="9" defaultRowHeight="13.5"/>
  <cols>
    <col min="1" max="1" width="12.875" style="4" customWidth="1"/>
    <col min="2" max="17" width="7.125" style="4" customWidth="1"/>
    <col min="18" max="30" width="8.125" style="4" customWidth="1"/>
    <col min="31" max="31" width="9" style="4"/>
    <col min="32" max="32" width="8.125" style="4" customWidth="1"/>
    <col min="33" max="16384" width="9" style="4"/>
  </cols>
  <sheetData>
    <row r="1" s="1" customFormat="1" spans="1:2">
      <c r="A1" s="4"/>
      <c r="B1" s="4"/>
    </row>
    <row r="2" s="9" customFormat="1" spans="1:2">
      <c r="A2" s="14"/>
      <c r="B2" s="14"/>
    </row>
    <row r="3" s="9" customFormat="1" spans="1:2">
      <c r="A3" s="14"/>
      <c r="B3" s="14"/>
    </row>
    <row r="4" s="9" customFormat="1" spans="1:2">
      <c r="A4" s="14"/>
      <c r="B4" s="14"/>
    </row>
    <row r="5" s="9" customFormat="1" spans="1:2">
      <c r="A5" s="14"/>
      <c r="B5" s="14"/>
    </row>
    <row r="6" s="9" customFormat="1" spans="1:2">
      <c r="A6" s="14"/>
      <c r="B6" s="14"/>
    </row>
    <row r="7" s="10" customFormat="1" ht="14.25"/>
    <row r="8" s="11" customFormat="1" ht="14.25"/>
    <row r="9" s="3" customFormat="1" ht="14.25"/>
    <row r="10" ht="20" customHeight="1"/>
    <row r="11" s="12" customFormat="1" ht="20" customHeight="1" spans="1:11">
      <c r="A11" s="12" t="s">
        <v>0</v>
      </c>
      <c r="B11" s="15" t="s">
        <v>1</v>
      </c>
      <c r="C11" s="16" t="s">
        <v>2</v>
      </c>
      <c r="D11" s="16"/>
      <c r="E11" s="16"/>
      <c r="F11" s="15" t="s">
        <v>3</v>
      </c>
      <c r="G11" s="17">
        <v>43843</v>
      </c>
      <c r="H11" s="17"/>
      <c r="I11" s="17"/>
      <c r="J11" s="15" t="s">
        <v>4</v>
      </c>
      <c r="K11" s="35">
        <f ca="1">VLOOKUP(C11,A15:AF30,MATCH(G11,B14:AF14,0)+1,FALSE)</f>
        <v>84</v>
      </c>
    </row>
    <row r="12" ht="20" customHeight="1"/>
    <row r="13" s="4" customFormat="1" spans="1:32">
      <c r="A13" s="19">
        <v>1</v>
      </c>
      <c r="B13" s="19">
        <v>2</v>
      </c>
      <c r="C13" s="19">
        <v>3</v>
      </c>
      <c r="D13" s="19">
        <v>4</v>
      </c>
      <c r="E13" s="19">
        <v>5</v>
      </c>
      <c r="F13" s="19">
        <v>6</v>
      </c>
      <c r="G13" s="19">
        <v>7</v>
      </c>
      <c r="H13" s="19">
        <v>8</v>
      </c>
      <c r="I13" s="19">
        <v>9</v>
      </c>
      <c r="J13" s="19">
        <v>10</v>
      </c>
      <c r="K13" s="19">
        <v>11</v>
      </c>
      <c r="L13" s="19">
        <v>12</v>
      </c>
      <c r="M13" s="19">
        <v>13</v>
      </c>
      <c r="N13" s="19">
        <v>14</v>
      </c>
      <c r="O13" s="19">
        <v>15</v>
      </c>
      <c r="P13" s="19">
        <v>16</v>
      </c>
      <c r="Q13" s="19">
        <v>17</v>
      </c>
      <c r="R13" s="19">
        <v>18</v>
      </c>
      <c r="S13" s="19">
        <v>19</v>
      </c>
      <c r="T13" s="19">
        <v>20</v>
      </c>
      <c r="U13" s="19">
        <v>21</v>
      </c>
      <c r="V13" s="19">
        <v>22</v>
      </c>
      <c r="W13" s="19">
        <v>23</v>
      </c>
      <c r="X13" s="19">
        <v>24</v>
      </c>
      <c r="Y13" s="19">
        <v>25</v>
      </c>
      <c r="Z13" s="19">
        <v>26</v>
      </c>
      <c r="AA13" s="19">
        <v>27</v>
      </c>
      <c r="AB13" s="19">
        <v>28</v>
      </c>
      <c r="AC13" s="19">
        <v>29</v>
      </c>
      <c r="AD13" s="19">
        <v>30</v>
      </c>
      <c r="AE13" s="19">
        <v>31</v>
      </c>
      <c r="AF13" s="19">
        <v>32</v>
      </c>
    </row>
    <row r="14" spans="1:32">
      <c r="A14" s="20" t="s">
        <v>3</v>
      </c>
      <c r="B14" s="21">
        <v>43831</v>
      </c>
      <c r="C14" s="21">
        <v>43832</v>
      </c>
      <c r="D14" s="21">
        <v>43833</v>
      </c>
      <c r="E14" s="21">
        <v>43834</v>
      </c>
      <c r="F14" s="21">
        <v>43835</v>
      </c>
      <c r="G14" s="21">
        <v>43836</v>
      </c>
      <c r="H14" s="21">
        <v>43837</v>
      </c>
      <c r="I14" s="21">
        <v>43838</v>
      </c>
      <c r="J14" s="21">
        <v>43839</v>
      </c>
      <c r="K14" s="21">
        <v>43840</v>
      </c>
      <c r="L14" s="21">
        <v>43841</v>
      </c>
      <c r="M14" s="21">
        <v>43842</v>
      </c>
      <c r="N14" s="21">
        <v>43843</v>
      </c>
      <c r="O14" s="21">
        <v>43844</v>
      </c>
      <c r="P14" s="21">
        <v>43845</v>
      </c>
      <c r="Q14" s="21">
        <v>43846</v>
      </c>
      <c r="R14" s="21">
        <v>43847</v>
      </c>
      <c r="S14" s="21">
        <v>43848</v>
      </c>
      <c r="T14" s="21">
        <v>43849</v>
      </c>
      <c r="U14" s="21">
        <v>43850</v>
      </c>
      <c r="V14" s="21">
        <v>43851</v>
      </c>
      <c r="W14" s="21">
        <v>43852</v>
      </c>
      <c r="X14" s="21">
        <v>43853</v>
      </c>
      <c r="Y14" s="21">
        <v>43854</v>
      </c>
      <c r="Z14" s="21">
        <v>43855</v>
      </c>
      <c r="AA14" s="21">
        <v>43856</v>
      </c>
      <c r="AB14" s="21">
        <v>43857</v>
      </c>
      <c r="AC14" s="21">
        <v>43858</v>
      </c>
      <c r="AD14" s="21">
        <v>43859</v>
      </c>
      <c r="AE14" s="21">
        <v>43860</v>
      </c>
      <c r="AF14" s="21">
        <v>43861</v>
      </c>
    </row>
    <row r="15" ht="15" customHeight="1" spans="1:32">
      <c r="A15" s="22" t="s">
        <v>5</v>
      </c>
      <c r="B15" s="23">
        <f ca="1" t="shared" ref="B15:AF15" si="0">RANDBETWEEN(1,100)</f>
        <v>8</v>
      </c>
      <c r="C15" s="23">
        <f ca="1" t="shared" si="0"/>
        <v>93</v>
      </c>
      <c r="D15" s="23">
        <f ca="1" t="shared" si="0"/>
        <v>90</v>
      </c>
      <c r="E15" s="23">
        <f ca="1" t="shared" si="0"/>
        <v>15</v>
      </c>
      <c r="F15" s="23">
        <f ca="1" t="shared" si="0"/>
        <v>100</v>
      </c>
      <c r="G15" s="23">
        <f ca="1" t="shared" si="0"/>
        <v>94</v>
      </c>
      <c r="H15" s="23">
        <f ca="1" t="shared" si="0"/>
        <v>58</v>
      </c>
      <c r="I15" s="23">
        <f ca="1" t="shared" si="0"/>
        <v>29</v>
      </c>
      <c r="J15" s="23">
        <f ca="1" t="shared" si="0"/>
        <v>19</v>
      </c>
      <c r="K15" s="23">
        <f ca="1" t="shared" si="0"/>
        <v>34</v>
      </c>
      <c r="L15" s="23">
        <f ca="1" t="shared" si="0"/>
        <v>98</v>
      </c>
      <c r="M15" s="23">
        <f ca="1" t="shared" si="0"/>
        <v>64</v>
      </c>
      <c r="N15" s="23">
        <f ca="1" t="shared" si="0"/>
        <v>76</v>
      </c>
      <c r="O15" s="23">
        <f ca="1" t="shared" si="0"/>
        <v>48</v>
      </c>
      <c r="P15" s="23">
        <f ca="1" t="shared" si="0"/>
        <v>78</v>
      </c>
      <c r="Q15" s="23">
        <f ca="1" t="shared" si="0"/>
        <v>30</v>
      </c>
      <c r="R15" s="23">
        <f ca="1" t="shared" si="0"/>
        <v>85</v>
      </c>
      <c r="S15" s="23">
        <f ca="1" t="shared" si="0"/>
        <v>76</v>
      </c>
      <c r="T15" s="23">
        <f ca="1" t="shared" si="0"/>
        <v>92</v>
      </c>
      <c r="U15" s="23">
        <f ca="1" t="shared" si="0"/>
        <v>54</v>
      </c>
      <c r="V15" s="23">
        <f ca="1" t="shared" si="0"/>
        <v>10</v>
      </c>
      <c r="W15" s="23">
        <f ca="1" t="shared" si="0"/>
        <v>62</v>
      </c>
      <c r="X15" s="23">
        <f ca="1" t="shared" si="0"/>
        <v>46</v>
      </c>
      <c r="Y15" s="23">
        <f ca="1" t="shared" si="0"/>
        <v>48</v>
      </c>
      <c r="Z15" s="23">
        <f ca="1" t="shared" si="0"/>
        <v>24</v>
      </c>
      <c r="AA15" s="23">
        <f ca="1" t="shared" si="0"/>
        <v>30</v>
      </c>
      <c r="AB15" s="23">
        <f ca="1" t="shared" si="0"/>
        <v>56</v>
      </c>
      <c r="AC15" s="23">
        <f ca="1" t="shared" si="0"/>
        <v>56</v>
      </c>
      <c r="AD15" s="23">
        <f ca="1" t="shared" si="0"/>
        <v>47</v>
      </c>
      <c r="AE15" s="23">
        <f ca="1" t="shared" si="0"/>
        <v>69</v>
      </c>
      <c r="AF15" s="23">
        <f ca="1" t="shared" si="0"/>
        <v>76</v>
      </c>
    </row>
    <row r="16" ht="15" customHeight="1" spans="1:32">
      <c r="A16" s="22" t="s">
        <v>6</v>
      </c>
      <c r="B16" s="23">
        <f ca="1" t="shared" ref="B16:AF16" si="1">RANDBETWEEN(1,100)</f>
        <v>11</v>
      </c>
      <c r="C16" s="23">
        <f ca="1" t="shared" si="1"/>
        <v>33</v>
      </c>
      <c r="D16" s="23">
        <f ca="1" t="shared" si="1"/>
        <v>77</v>
      </c>
      <c r="E16" s="23">
        <f ca="1" t="shared" si="1"/>
        <v>32</v>
      </c>
      <c r="F16" s="23">
        <f ca="1" t="shared" si="1"/>
        <v>2</v>
      </c>
      <c r="G16" s="23">
        <f ca="1" t="shared" si="1"/>
        <v>72</v>
      </c>
      <c r="H16" s="23">
        <f ca="1" t="shared" si="1"/>
        <v>15</v>
      </c>
      <c r="I16" s="23">
        <f ca="1" t="shared" si="1"/>
        <v>50</v>
      </c>
      <c r="J16" s="23">
        <f ca="1" t="shared" si="1"/>
        <v>97</v>
      </c>
      <c r="K16" s="23">
        <f ca="1" t="shared" si="1"/>
        <v>17</v>
      </c>
      <c r="L16" s="23">
        <f ca="1" t="shared" si="1"/>
        <v>85</v>
      </c>
      <c r="M16" s="23">
        <f ca="1" t="shared" si="1"/>
        <v>87</v>
      </c>
      <c r="N16" s="23">
        <f ca="1" t="shared" si="1"/>
        <v>96</v>
      </c>
      <c r="O16" s="23">
        <f ca="1" t="shared" si="1"/>
        <v>93</v>
      </c>
      <c r="P16" s="23">
        <f ca="1" t="shared" si="1"/>
        <v>39</v>
      </c>
      <c r="Q16" s="23">
        <f ca="1" t="shared" si="1"/>
        <v>60</v>
      </c>
      <c r="R16" s="23">
        <f ca="1" t="shared" si="1"/>
        <v>69</v>
      </c>
      <c r="S16" s="23">
        <f ca="1" t="shared" si="1"/>
        <v>32</v>
      </c>
      <c r="T16" s="23">
        <f ca="1" t="shared" si="1"/>
        <v>33</v>
      </c>
      <c r="U16" s="23">
        <f ca="1" t="shared" si="1"/>
        <v>21</v>
      </c>
      <c r="V16" s="23">
        <f ca="1" t="shared" si="1"/>
        <v>61</v>
      </c>
      <c r="W16" s="23">
        <f ca="1" t="shared" si="1"/>
        <v>53</v>
      </c>
      <c r="X16" s="23">
        <f ca="1" t="shared" si="1"/>
        <v>1</v>
      </c>
      <c r="Y16" s="23">
        <f ca="1" t="shared" si="1"/>
        <v>31</v>
      </c>
      <c r="Z16" s="23">
        <f ca="1" t="shared" si="1"/>
        <v>90</v>
      </c>
      <c r="AA16" s="23">
        <f ca="1" t="shared" si="1"/>
        <v>57</v>
      </c>
      <c r="AB16" s="23">
        <f ca="1" t="shared" si="1"/>
        <v>96</v>
      </c>
      <c r="AC16" s="23">
        <f ca="1" t="shared" si="1"/>
        <v>61</v>
      </c>
      <c r="AD16" s="23">
        <f ca="1" t="shared" si="1"/>
        <v>92</v>
      </c>
      <c r="AE16" s="23">
        <f ca="1" t="shared" si="1"/>
        <v>33</v>
      </c>
      <c r="AF16" s="23">
        <f ca="1" t="shared" si="1"/>
        <v>45</v>
      </c>
    </row>
    <row r="17" ht="15" customHeight="1" spans="1:32">
      <c r="A17" s="22" t="s">
        <v>7</v>
      </c>
      <c r="B17" s="23">
        <f ca="1" t="shared" ref="B17:AF17" si="2">RANDBETWEEN(1,100)</f>
        <v>42</v>
      </c>
      <c r="C17" s="23">
        <f ca="1" t="shared" si="2"/>
        <v>64</v>
      </c>
      <c r="D17" s="23">
        <f ca="1" t="shared" si="2"/>
        <v>21</v>
      </c>
      <c r="E17" s="23">
        <f ca="1" t="shared" si="2"/>
        <v>90</v>
      </c>
      <c r="F17" s="23">
        <f ca="1" t="shared" si="2"/>
        <v>24</v>
      </c>
      <c r="G17" s="23">
        <f ca="1" t="shared" si="2"/>
        <v>96</v>
      </c>
      <c r="H17" s="23">
        <f ca="1" t="shared" si="2"/>
        <v>1</v>
      </c>
      <c r="I17" s="23">
        <f ca="1" t="shared" si="2"/>
        <v>37</v>
      </c>
      <c r="J17" s="23">
        <f ca="1" t="shared" si="2"/>
        <v>29</v>
      </c>
      <c r="K17" s="23">
        <f ca="1" t="shared" si="2"/>
        <v>76</v>
      </c>
      <c r="L17" s="23">
        <f ca="1" t="shared" si="2"/>
        <v>83</v>
      </c>
      <c r="M17" s="23">
        <f ca="1" t="shared" si="2"/>
        <v>99</v>
      </c>
      <c r="N17" s="23">
        <f ca="1" t="shared" si="2"/>
        <v>97</v>
      </c>
      <c r="O17" s="23">
        <f ca="1" t="shared" si="2"/>
        <v>3</v>
      </c>
      <c r="P17" s="23">
        <f ca="1" t="shared" si="2"/>
        <v>21</v>
      </c>
      <c r="Q17" s="23">
        <f ca="1" t="shared" si="2"/>
        <v>54</v>
      </c>
      <c r="R17" s="23">
        <f ca="1" t="shared" si="2"/>
        <v>91</v>
      </c>
      <c r="S17" s="23">
        <f ca="1" t="shared" si="2"/>
        <v>50</v>
      </c>
      <c r="T17" s="23">
        <f ca="1" t="shared" si="2"/>
        <v>13</v>
      </c>
      <c r="U17" s="23">
        <f ca="1" t="shared" si="2"/>
        <v>48</v>
      </c>
      <c r="V17" s="23">
        <f ca="1" t="shared" si="2"/>
        <v>61</v>
      </c>
      <c r="W17" s="23">
        <f ca="1" t="shared" si="2"/>
        <v>20</v>
      </c>
      <c r="X17" s="23">
        <f ca="1" t="shared" si="2"/>
        <v>21</v>
      </c>
      <c r="Y17" s="23">
        <f ca="1" t="shared" si="2"/>
        <v>10</v>
      </c>
      <c r="Z17" s="23">
        <f ca="1" t="shared" si="2"/>
        <v>46</v>
      </c>
      <c r="AA17" s="23">
        <f ca="1" t="shared" si="2"/>
        <v>7</v>
      </c>
      <c r="AB17" s="23">
        <f ca="1" t="shared" si="2"/>
        <v>33</v>
      </c>
      <c r="AC17" s="23">
        <f ca="1" t="shared" si="2"/>
        <v>70</v>
      </c>
      <c r="AD17" s="23">
        <f ca="1" t="shared" si="2"/>
        <v>95</v>
      </c>
      <c r="AE17" s="23">
        <f ca="1" t="shared" si="2"/>
        <v>10</v>
      </c>
      <c r="AF17" s="23">
        <f ca="1" t="shared" si="2"/>
        <v>91</v>
      </c>
    </row>
    <row r="18" ht="15" customHeight="1" spans="1:32">
      <c r="A18" s="22" t="s">
        <v>2</v>
      </c>
      <c r="B18" s="23">
        <f ca="1" t="shared" ref="B18:AF18" si="3">RANDBETWEEN(1,100)</f>
        <v>73</v>
      </c>
      <c r="C18" s="23">
        <f ca="1" t="shared" si="3"/>
        <v>95</v>
      </c>
      <c r="D18" s="23">
        <f ca="1" t="shared" si="3"/>
        <v>35</v>
      </c>
      <c r="E18" s="23">
        <f ca="1" t="shared" si="3"/>
        <v>86</v>
      </c>
      <c r="F18" s="23">
        <f ca="1" t="shared" si="3"/>
        <v>74</v>
      </c>
      <c r="G18" s="23">
        <f ca="1" t="shared" si="3"/>
        <v>45</v>
      </c>
      <c r="H18" s="23">
        <f ca="1" t="shared" si="3"/>
        <v>16</v>
      </c>
      <c r="I18" s="23">
        <f ca="1" t="shared" si="3"/>
        <v>96</v>
      </c>
      <c r="J18" s="23">
        <f ca="1" t="shared" si="3"/>
        <v>18</v>
      </c>
      <c r="K18" s="23">
        <f ca="1" t="shared" si="3"/>
        <v>71</v>
      </c>
      <c r="L18" s="23">
        <f ca="1" t="shared" si="3"/>
        <v>68</v>
      </c>
      <c r="M18" s="23">
        <f ca="1" t="shared" si="3"/>
        <v>35</v>
      </c>
      <c r="N18" s="23">
        <f ca="1" t="shared" si="3"/>
        <v>84</v>
      </c>
      <c r="O18" s="23">
        <f ca="1" t="shared" si="3"/>
        <v>29</v>
      </c>
      <c r="P18" s="23">
        <f ca="1" t="shared" si="3"/>
        <v>64</v>
      </c>
      <c r="Q18" s="23">
        <f ca="1" t="shared" si="3"/>
        <v>38</v>
      </c>
      <c r="R18" s="23">
        <f ca="1" t="shared" si="3"/>
        <v>88</v>
      </c>
      <c r="S18" s="23">
        <f ca="1" t="shared" si="3"/>
        <v>39</v>
      </c>
      <c r="T18" s="23">
        <f ca="1" t="shared" si="3"/>
        <v>5</v>
      </c>
      <c r="U18" s="23">
        <f ca="1" t="shared" si="3"/>
        <v>36</v>
      </c>
      <c r="V18" s="23">
        <f ca="1" t="shared" si="3"/>
        <v>28</v>
      </c>
      <c r="W18" s="23">
        <f ca="1" t="shared" si="3"/>
        <v>23</v>
      </c>
      <c r="X18" s="23">
        <f ca="1" t="shared" si="3"/>
        <v>37</v>
      </c>
      <c r="Y18" s="23">
        <f ca="1" t="shared" si="3"/>
        <v>93</v>
      </c>
      <c r="Z18" s="23">
        <f ca="1" t="shared" si="3"/>
        <v>67</v>
      </c>
      <c r="AA18" s="23">
        <f ca="1" t="shared" si="3"/>
        <v>48</v>
      </c>
      <c r="AB18" s="23">
        <f ca="1" t="shared" si="3"/>
        <v>3</v>
      </c>
      <c r="AC18" s="23">
        <f ca="1" t="shared" si="3"/>
        <v>85</v>
      </c>
      <c r="AD18" s="23">
        <f ca="1" t="shared" si="3"/>
        <v>29</v>
      </c>
      <c r="AE18" s="23">
        <f ca="1" t="shared" si="3"/>
        <v>68</v>
      </c>
      <c r="AF18" s="23">
        <f ca="1" t="shared" si="3"/>
        <v>33</v>
      </c>
    </row>
    <row r="19" ht="15" customHeight="1" spans="1:32">
      <c r="A19" s="22" t="s">
        <v>8</v>
      </c>
      <c r="B19" s="23">
        <f ca="1" t="shared" ref="B19:AF19" si="4">RANDBETWEEN(1,100)</f>
        <v>95</v>
      </c>
      <c r="C19" s="23">
        <f ca="1" t="shared" si="4"/>
        <v>74</v>
      </c>
      <c r="D19" s="23">
        <f ca="1" t="shared" si="4"/>
        <v>51</v>
      </c>
      <c r="E19" s="23">
        <f ca="1" t="shared" si="4"/>
        <v>68</v>
      </c>
      <c r="F19" s="23">
        <f ca="1" t="shared" si="4"/>
        <v>23</v>
      </c>
      <c r="G19" s="23">
        <f ca="1" t="shared" si="4"/>
        <v>95</v>
      </c>
      <c r="H19" s="23">
        <f ca="1" t="shared" si="4"/>
        <v>17</v>
      </c>
      <c r="I19" s="23">
        <f ca="1" t="shared" si="4"/>
        <v>12</v>
      </c>
      <c r="J19" s="23">
        <f ca="1" t="shared" si="4"/>
        <v>45</v>
      </c>
      <c r="K19" s="23">
        <f ca="1" t="shared" si="4"/>
        <v>17</v>
      </c>
      <c r="L19" s="23">
        <f ca="1" t="shared" si="4"/>
        <v>16</v>
      </c>
      <c r="M19" s="23">
        <f ca="1" t="shared" si="4"/>
        <v>94</v>
      </c>
      <c r="N19" s="23">
        <f ca="1" t="shared" si="4"/>
        <v>15</v>
      </c>
      <c r="O19" s="23">
        <f ca="1" t="shared" si="4"/>
        <v>1</v>
      </c>
      <c r="P19" s="23">
        <f ca="1" t="shared" si="4"/>
        <v>83</v>
      </c>
      <c r="Q19" s="23">
        <f ca="1" t="shared" si="4"/>
        <v>86</v>
      </c>
      <c r="R19" s="23">
        <f ca="1" t="shared" si="4"/>
        <v>80</v>
      </c>
      <c r="S19" s="23">
        <f ca="1" t="shared" si="4"/>
        <v>93</v>
      </c>
      <c r="T19" s="23">
        <f ca="1" t="shared" si="4"/>
        <v>49</v>
      </c>
      <c r="U19" s="23">
        <f ca="1" t="shared" si="4"/>
        <v>84</v>
      </c>
      <c r="V19" s="23">
        <f ca="1" t="shared" si="4"/>
        <v>95</v>
      </c>
      <c r="W19" s="23">
        <f ca="1" t="shared" si="4"/>
        <v>32</v>
      </c>
      <c r="X19" s="23">
        <f ca="1" t="shared" si="4"/>
        <v>34</v>
      </c>
      <c r="Y19" s="23">
        <f ca="1" t="shared" si="4"/>
        <v>11</v>
      </c>
      <c r="Z19" s="23">
        <f ca="1" t="shared" si="4"/>
        <v>44</v>
      </c>
      <c r="AA19" s="23">
        <f ca="1" t="shared" si="4"/>
        <v>82</v>
      </c>
      <c r="AB19" s="23">
        <f ca="1" t="shared" si="4"/>
        <v>71</v>
      </c>
      <c r="AC19" s="23">
        <f ca="1" t="shared" si="4"/>
        <v>88</v>
      </c>
      <c r="AD19" s="23">
        <f ca="1" t="shared" si="4"/>
        <v>51</v>
      </c>
      <c r="AE19" s="23">
        <f ca="1" t="shared" si="4"/>
        <v>26</v>
      </c>
      <c r="AF19" s="23">
        <f ca="1" t="shared" si="4"/>
        <v>90</v>
      </c>
    </row>
    <row r="20" ht="15" customHeight="1" spans="1:32">
      <c r="A20" s="22" t="s">
        <v>9</v>
      </c>
      <c r="B20" s="23">
        <f ca="1" t="shared" ref="B20:AF20" si="5">RANDBETWEEN(1,100)</f>
        <v>15</v>
      </c>
      <c r="C20" s="23">
        <f ca="1" t="shared" si="5"/>
        <v>37</v>
      </c>
      <c r="D20" s="23">
        <f ca="1" t="shared" si="5"/>
        <v>24</v>
      </c>
      <c r="E20" s="23">
        <f ca="1" t="shared" si="5"/>
        <v>96</v>
      </c>
      <c r="F20" s="23">
        <f ca="1" t="shared" si="5"/>
        <v>17</v>
      </c>
      <c r="G20" s="23">
        <f ca="1" t="shared" si="5"/>
        <v>80</v>
      </c>
      <c r="H20" s="23">
        <f ca="1" t="shared" si="5"/>
        <v>27</v>
      </c>
      <c r="I20" s="23">
        <f ca="1" t="shared" si="5"/>
        <v>12</v>
      </c>
      <c r="J20" s="23">
        <f ca="1" t="shared" si="5"/>
        <v>66</v>
      </c>
      <c r="K20" s="23">
        <f ca="1" t="shared" si="5"/>
        <v>85</v>
      </c>
      <c r="L20" s="23">
        <f ca="1" t="shared" si="5"/>
        <v>64</v>
      </c>
      <c r="M20" s="23">
        <f ca="1" t="shared" si="5"/>
        <v>15</v>
      </c>
      <c r="N20" s="23">
        <f ca="1" t="shared" si="5"/>
        <v>65</v>
      </c>
      <c r="O20" s="23">
        <f ca="1" t="shared" si="5"/>
        <v>27</v>
      </c>
      <c r="P20" s="23">
        <f ca="1" t="shared" si="5"/>
        <v>99</v>
      </c>
      <c r="Q20" s="23">
        <f ca="1" t="shared" si="5"/>
        <v>35</v>
      </c>
      <c r="R20" s="23">
        <f ca="1" t="shared" si="5"/>
        <v>47</v>
      </c>
      <c r="S20" s="23">
        <f ca="1" t="shared" si="5"/>
        <v>70</v>
      </c>
      <c r="T20" s="23">
        <f ca="1" t="shared" si="5"/>
        <v>62</v>
      </c>
      <c r="U20" s="23">
        <f ca="1" t="shared" si="5"/>
        <v>61</v>
      </c>
      <c r="V20" s="23">
        <f ca="1" t="shared" si="5"/>
        <v>76</v>
      </c>
      <c r="W20" s="23">
        <f ca="1" t="shared" si="5"/>
        <v>52</v>
      </c>
      <c r="X20" s="23">
        <f ca="1" t="shared" si="5"/>
        <v>16</v>
      </c>
      <c r="Y20" s="23">
        <f ca="1" t="shared" si="5"/>
        <v>98</v>
      </c>
      <c r="Z20" s="23">
        <f ca="1" t="shared" si="5"/>
        <v>24</v>
      </c>
      <c r="AA20" s="23">
        <f ca="1" t="shared" si="5"/>
        <v>58</v>
      </c>
      <c r="AB20" s="23">
        <f ca="1" t="shared" si="5"/>
        <v>61</v>
      </c>
      <c r="AC20" s="23">
        <f ca="1" t="shared" si="5"/>
        <v>38</v>
      </c>
      <c r="AD20" s="23">
        <f ca="1" t="shared" si="5"/>
        <v>91</v>
      </c>
      <c r="AE20" s="23">
        <f ca="1" t="shared" si="5"/>
        <v>79</v>
      </c>
      <c r="AF20" s="23">
        <f ca="1" t="shared" si="5"/>
        <v>55</v>
      </c>
    </row>
    <row r="21" ht="15" customHeight="1" spans="1:32">
      <c r="A21" s="22" t="s">
        <v>10</v>
      </c>
      <c r="B21" s="23">
        <f ca="1" t="shared" ref="B21:AF21" si="6">RANDBETWEEN(1,100)</f>
        <v>6</v>
      </c>
      <c r="C21" s="23">
        <f ca="1" t="shared" si="6"/>
        <v>89</v>
      </c>
      <c r="D21" s="23">
        <f ca="1" t="shared" si="6"/>
        <v>76</v>
      </c>
      <c r="E21" s="23">
        <f ca="1" t="shared" si="6"/>
        <v>78</v>
      </c>
      <c r="F21" s="23">
        <f ca="1" t="shared" si="6"/>
        <v>31</v>
      </c>
      <c r="G21" s="23">
        <f ca="1" t="shared" si="6"/>
        <v>55</v>
      </c>
      <c r="H21" s="23">
        <f ca="1" t="shared" si="6"/>
        <v>1</v>
      </c>
      <c r="I21" s="23">
        <f ca="1" t="shared" si="6"/>
        <v>16</v>
      </c>
      <c r="J21" s="23">
        <f ca="1" t="shared" si="6"/>
        <v>47</v>
      </c>
      <c r="K21" s="23">
        <f ca="1" t="shared" si="6"/>
        <v>10</v>
      </c>
      <c r="L21" s="23">
        <f ca="1" t="shared" si="6"/>
        <v>5</v>
      </c>
      <c r="M21" s="23">
        <f ca="1" t="shared" si="6"/>
        <v>21</v>
      </c>
      <c r="N21" s="23">
        <f ca="1" t="shared" si="6"/>
        <v>73</v>
      </c>
      <c r="O21" s="23">
        <f ca="1" t="shared" si="6"/>
        <v>83</v>
      </c>
      <c r="P21" s="23">
        <f ca="1" t="shared" si="6"/>
        <v>93</v>
      </c>
      <c r="Q21" s="23">
        <f ca="1" t="shared" si="6"/>
        <v>44</v>
      </c>
      <c r="R21" s="23">
        <f ca="1" t="shared" si="6"/>
        <v>24</v>
      </c>
      <c r="S21" s="23">
        <f ca="1" t="shared" si="6"/>
        <v>38</v>
      </c>
      <c r="T21" s="23">
        <f ca="1" t="shared" si="6"/>
        <v>77</v>
      </c>
      <c r="U21" s="23">
        <f ca="1" t="shared" si="6"/>
        <v>70</v>
      </c>
      <c r="V21" s="23">
        <f ca="1" t="shared" si="6"/>
        <v>36</v>
      </c>
      <c r="W21" s="23">
        <f ca="1" t="shared" si="6"/>
        <v>49</v>
      </c>
      <c r="X21" s="23">
        <f ca="1" t="shared" si="6"/>
        <v>94</v>
      </c>
      <c r="Y21" s="23">
        <f ca="1" t="shared" si="6"/>
        <v>86</v>
      </c>
      <c r="Z21" s="23">
        <f ca="1" t="shared" si="6"/>
        <v>69</v>
      </c>
      <c r="AA21" s="23">
        <f ca="1" t="shared" si="6"/>
        <v>24</v>
      </c>
      <c r="AB21" s="23">
        <f ca="1" t="shared" si="6"/>
        <v>86</v>
      </c>
      <c r="AC21" s="23">
        <f ca="1" t="shared" si="6"/>
        <v>28</v>
      </c>
      <c r="AD21" s="23">
        <f ca="1" t="shared" si="6"/>
        <v>63</v>
      </c>
      <c r="AE21" s="23">
        <f ca="1" t="shared" si="6"/>
        <v>70</v>
      </c>
      <c r="AF21" s="23">
        <f ca="1" t="shared" si="6"/>
        <v>85</v>
      </c>
    </row>
    <row r="22" ht="15" customHeight="1" spans="1:32">
      <c r="A22" s="22" t="s">
        <v>11</v>
      </c>
      <c r="B22" s="23">
        <f ca="1" t="shared" ref="B22:AF22" si="7">RANDBETWEEN(1,100)</f>
        <v>41</v>
      </c>
      <c r="C22" s="23">
        <f ca="1" t="shared" si="7"/>
        <v>36</v>
      </c>
      <c r="D22" s="23">
        <f ca="1" t="shared" si="7"/>
        <v>11</v>
      </c>
      <c r="E22" s="23">
        <f ca="1" t="shared" si="7"/>
        <v>93</v>
      </c>
      <c r="F22" s="23">
        <f ca="1" t="shared" si="7"/>
        <v>98</v>
      </c>
      <c r="G22" s="23">
        <f ca="1" t="shared" si="7"/>
        <v>24</v>
      </c>
      <c r="H22" s="23">
        <f ca="1" t="shared" si="7"/>
        <v>11</v>
      </c>
      <c r="I22" s="23">
        <f ca="1" t="shared" si="7"/>
        <v>64</v>
      </c>
      <c r="J22" s="23">
        <f ca="1" t="shared" si="7"/>
        <v>74</v>
      </c>
      <c r="K22" s="23">
        <f ca="1" t="shared" si="7"/>
        <v>75</v>
      </c>
      <c r="L22" s="23">
        <f ca="1" t="shared" si="7"/>
        <v>11</v>
      </c>
      <c r="M22" s="23">
        <f ca="1" t="shared" si="7"/>
        <v>50</v>
      </c>
      <c r="N22" s="23">
        <f ca="1" t="shared" si="7"/>
        <v>33</v>
      </c>
      <c r="O22" s="23">
        <f ca="1" t="shared" si="7"/>
        <v>57</v>
      </c>
      <c r="P22" s="23">
        <f ca="1" t="shared" si="7"/>
        <v>72</v>
      </c>
      <c r="Q22" s="23">
        <f ca="1" t="shared" si="7"/>
        <v>85</v>
      </c>
      <c r="R22" s="23">
        <f ca="1" t="shared" si="7"/>
        <v>98</v>
      </c>
      <c r="S22" s="23">
        <f ca="1" t="shared" si="7"/>
        <v>17</v>
      </c>
      <c r="T22" s="23">
        <f ca="1" t="shared" si="7"/>
        <v>86</v>
      </c>
      <c r="U22" s="23">
        <f ca="1" t="shared" si="7"/>
        <v>15</v>
      </c>
      <c r="V22" s="23">
        <f ca="1" t="shared" si="7"/>
        <v>21</v>
      </c>
      <c r="W22" s="23">
        <f ca="1" t="shared" si="7"/>
        <v>13</v>
      </c>
      <c r="X22" s="23">
        <f ca="1" t="shared" si="7"/>
        <v>98</v>
      </c>
      <c r="Y22" s="23">
        <f ca="1" t="shared" si="7"/>
        <v>47</v>
      </c>
      <c r="Z22" s="23">
        <f ca="1" t="shared" si="7"/>
        <v>49</v>
      </c>
      <c r="AA22" s="23">
        <f ca="1" t="shared" si="7"/>
        <v>81</v>
      </c>
      <c r="AB22" s="23">
        <f ca="1" t="shared" si="7"/>
        <v>58</v>
      </c>
      <c r="AC22" s="23">
        <f ca="1" t="shared" si="7"/>
        <v>48</v>
      </c>
      <c r="AD22" s="23">
        <f ca="1" t="shared" si="7"/>
        <v>42</v>
      </c>
      <c r="AE22" s="23">
        <f ca="1" t="shared" si="7"/>
        <v>78</v>
      </c>
      <c r="AF22" s="23">
        <f ca="1" t="shared" si="7"/>
        <v>29</v>
      </c>
    </row>
    <row r="23" ht="15" customHeight="1" spans="1:32">
      <c r="A23" s="22" t="s">
        <v>12</v>
      </c>
      <c r="B23" s="23">
        <f ca="1" t="shared" ref="B23:AF23" si="8">RANDBETWEEN(1,100)</f>
        <v>35</v>
      </c>
      <c r="C23" s="23">
        <f ca="1" t="shared" si="8"/>
        <v>58</v>
      </c>
      <c r="D23" s="23">
        <f ca="1" t="shared" si="8"/>
        <v>13</v>
      </c>
      <c r="E23" s="23">
        <f ca="1" t="shared" si="8"/>
        <v>11</v>
      </c>
      <c r="F23" s="23">
        <f ca="1" t="shared" si="8"/>
        <v>47</v>
      </c>
      <c r="G23" s="23">
        <f ca="1" t="shared" si="8"/>
        <v>74</v>
      </c>
      <c r="H23" s="23">
        <f ca="1" t="shared" si="8"/>
        <v>20</v>
      </c>
      <c r="I23" s="23">
        <f ca="1" t="shared" si="8"/>
        <v>14</v>
      </c>
      <c r="J23" s="23">
        <f ca="1" t="shared" si="8"/>
        <v>55</v>
      </c>
      <c r="K23" s="23">
        <f ca="1" t="shared" si="8"/>
        <v>100</v>
      </c>
      <c r="L23" s="23">
        <f ca="1" t="shared" si="8"/>
        <v>50</v>
      </c>
      <c r="M23" s="23">
        <f ca="1" t="shared" si="8"/>
        <v>12</v>
      </c>
      <c r="N23" s="23">
        <f ca="1" t="shared" si="8"/>
        <v>23</v>
      </c>
      <c r="O23" s="23">
        <f ca="1" t="shared" si="8"/>
        <v>52</v>
      </c>
      <c r="P23" s="23">
        <f ca="1" t="shared" si="8"/>
        <v>74</v>
      </c>
      <c r="Q23" s="23">
        <f ca="1" t="shared" si="8"/>
        <v>5</v>
      </c>
      <c r="R23" s="23">
        <f ca="1" t="shared" si="8"/>
        <v>74</v>
      </c>
      <c r="S23" s="23">
        <f ca="1" t="shared" si="8"/>
        <v>9</v>
      </c>
      <c r="T23" s="23">
        <f ca="1" t="shared" si="8"/>
        <v>74</v>
      </c>
      <c r="U23" s="23">
        <f ca="1" t="shared" si="8"/>
        <v>90</v>
      </c>
      <c r="V23" s="23">
        <f ca="1" t="shared" si="8"/>
        <v>100</v>
      </c>
      <c r="W23" s="23">
        <f ca="1" t="shared" si="8"/>
        <v>9</v>
      </c>
      <c r="X23" s="23">
        <f ca="1" t="shared" si="8"/>
        <v>91</v>
      </c>
      <c r="Y23" s="23">
        <f ca="1" t="shared" si="8"/>
        <v>82</v>
      </c>
      <c r="Z23" s="23">
        <f ca="1" t="shared" si="8"/>
        <v>27</v>
      </c>
      <c r="AA23" s="23">
        <f ca="1" t="shared" si="8"/>
        <v>67</v>
      </c>
      <c r="AB23" s="23">
        <f ca="1" t="shared" si="8"/>
        <v>73</v>
      </c>
      <c r="AC23" s="23">
        <f ca="1" t="shared" si="8"/>
        <v>44</v>
      </c>
      <c r="AD23" s="23">
        <f ca="1" t="shared" si="8"/>
        <v>86</v>
      </c>
      <c r="AE23" s="23">
        <f ca="1" t="shared" si="8"/>
        <v>20</v>
      </c>
      <c r="AF23" s="23">
        <f ca="1" t="shared" si="8"/>
        <v>74</v>
      </c>
    </row>
    <row r="24" ht="15" customHeight="1" spans="1:32">
      <c r="A24" s="22" t="s">
        <v>13</v>
      </c>
      <c r="B24" s="23">
        <f ca="1" t="shared" ref="B24:AF24" si="9">RANDBETWEEN(1,100)</f>
        <v>60</v>
      </c>
      <c r="C24" s="23">
        <f ca="1" t="shared" si="9"/>
        <v>4</v>
      </c>
      <c r="D24" s="23">
        <f ca="1" t="shared" si="9"/>
        <v>17</v>
      </c>
      <c r="E24" s="23">
        <f ca="1" t="shared" si="9"/>
        <v>39</v>
      </c>
      <c r="F24" s="23">
        <f ca="1" t="shared" si="9"/>
        <v>10</v>
      </c>
      <c r="G24" s="23">
        <f ca="1" t="shared" si="9"/>
        <v>19</v>
      </c>
      <c r="H24" s="23">
        <f ca="1" t="shared" si="9"/>
        <v>70</v>
      </c>
      <c r="I24" s="23">
        <f ca="1" t="shared" si="9"/>
        <v>87</v>
      </c>
      <c r="J24" s="23">
        <f ca="1" t="shared" si="9"/>
        <v>43</v>
      </c>
      <c r="K24" s="23">
        <f ca="1" t="shared" si="9"/>
        <v>40</v>
      </c>
      <c r="L24" s="23">
        <f ca="1" t="shared" si="9"/>
        <v>83</v>
      </c>
      <c r="M24" s="23">
        <f ca="1" t="shared" si="9"/>
        <v>16</v>
      </c>
      <c r="N24" s="23">
        <f ca="1" t="shared" si="9"/>
        <v>92</v>
      </c>
      <c r="O24" s="23">
        <f ca="1" t="shared" si="9"/>
        <v>24</v>
      </c>
      <c r="P24" s="23">
        <f ca="1" t="shared" si="9"/>
        <v>43</v>
      </c>
      <c r="Q24" s="23">
        <f ca="1" t="shared" si="9"/>
        <v>12</v>
      </c>
      <c r="R24" s="23">
        <f ca="1" t="shared" si="9"/>
        <v>31</v>
      </c>
      <c r="S24" s="23">
        <f ca="1" t="shared" si="9"/>
        <v>97</v>
      </c>
      <c r="T24" s="23">
        <f ca="1" t="shared" si="9"/>
        <v>19</v>
      </c>
      <c r="U24" s="23">
        <f ca="1" t="shared" si="9"/>
        <v>36</v>
      </c>
      <c r="V24" s="23">
        <f ca="1" t="shared" si="9"/>
        <v>57</v>
      </c>
      <c r="W24" s="23">
        <f ca="1" t="shared" si="9"/>
        <v>45</v>
      </c>
      <c r="X24" s="23">
        <f ca="1" t="shared" si="9"/>
        <v>13</v>
      </c>
      <c r="Y24" s="23">
        <f ca="1" t="shared" si="9"/>
        <v>77</v>
      </c>
      <c r="Z24" s="23">
        <f ca="1" t="shared" si="9"/>
        <v>54</v>
      </c>
      <c r="AA24" s="23">
        <f ca="1" t="shared" si="9"/>
        <v>100</v>
      </c>
      <c r="AB24" s="23">
        <f ca="1" t="shared" si="9"/>
        <v>7</v>
      </c>
      <c r="AC24" s="23">
        <f ca="1" t="shared" si="9"/>
        <v>72</v>
      </c>
      <c r="AD24" s="23">
        <f ca="1" t="shared" si="9"/>
        <v>40</v>
      </c>
      <c r="AE24" s="23">
        <f ca="1" t="shared" si="9"/>
        <v>49</v>
      </c>
      <c r="AF24" s="23">
        <f ca="1" t="shared" si="9"/>
        <v>46</v>
      </c>
    </row>
    <row r="25" ht="15" customHeight="1" spans="1:32">
      <c r="A25" s="22" t="s">
        <v>14</v>
      </c>
      <c r="B25" s="23">
        <f ca="1" t="shared" ref="B25:AF25" si="10">RANDBETWEEN(1,100)</f>
        <v>81</v>
      </c>
      <c r="C25" s="23">
        <f ca="1" t="shared" si="10"/>
        <v>36</v>
      </c>
      <c r="D25" s="23">
        <f ca="1" t="shared" si="10"/>
        <v>20</v>
      </c>
      <c r="E25" s="23">
        <f ca="1" t="shared" si="10"/>
        <v>96</v>
      </c>
      <c r="F25" s="23">
        <f ca="1" t="shared" si="10"/>
        <v>61</v>
      </c>
      <c r="G25" s="23">
        <f ca="1" t="shared" si="10"/>
        <v>19</v>
      </c>
      <c r="H25" s="23">
        <f ca="1" t="shared" si="10"/>
        <v>60</v>
      </c>
      <c r="I25" s="23">
        <f ca="1" t="shared" si="10"/>
        <v>71</v>
      </c>
      <c r="J25" s="23">
        <f ca="1" t="shared" si="10"/>
        <v>34</v>
      </c>
      <c r="K25" s="23">
        <f ca="1" t="shared" si="10"/>
        <v>77</v>
      </c>
      <c r="L25" s="23">
        <f ca="1" t="shared" si="10"/>
        <v>56</v>
      </c>
      <c r="M25" s="23">
        <f ca="1" t="shared" si="10"/>
        <v>79</v>
      </c>
      <c r="N25" s="23">
        <f ca="1" t="shared" si="10"/>
        <v>28</v>
      </c>
      <c r="O25" s="23">
        <f ca="1" t="shared" si="10"/>
        <v>44</v>
      </c>
      <c r="P25" s="23">
        <f ca="1" t="shared" si="10"/>
        <v>23</v>
      </c>
      <c r="Q25" s="23">
        <f ca="1" t="shared" si="10"/>
        <v>2</v>
      </c>
      <c r="R25" s="23">
        <f ca="1" t="shared" si="10"/>
        <v>18</v>
      </c>
      <c r="S25" s="23">
        <f ca="1" t="shared" si="10"/>
        <v>65</v>
      </c>
      <c r="T25" s="23">
        <f ca="1" t="shared" si="10"/>
        <v>93</v>
      </c>
      <c r="U25" s="23">
        <f ca="1" t="shared" si="10"/>
        <v>18</v>
      </c>
      <c r="V25" s="23">
        <f ca="1" t="shared" si="10"/>
        <v>65</v>
      </c>
      <c r="W25" s="23">
        <f ca="1" t="shared" si="10"/>
        <v>20</v>
      </c>
      <c r="X25" s="23">
        <f ca="1" t="shared" si="10"/>
        <v>97</v>
      </c>
      <c r="Y25" s="23">
        <f ca="1" t="shared" si="10"/>
        <v>62</v>
      </c>
      <c r="Z25" s="23">
        <f ca="1" t="shared" si="10"/>
        <v>29</v>
      </c>
      <c r="AA25" s="23">
        <f ca="1" t="shared" si="10"/>
        <v>66</v>
      </c>
      <c r="AB25" s="23">
        <f ca="1" t="shared" si="10"/>
        <v>63</v>
      </c>
      <c r="AC25" s="23">
        <f ca="1" t="shared" si="10"/>
        <v>71</v>
      </c>
      <c r="AD25" s="23">
        <f ca="1" t="shared" si="10"/>
        <v>56</v>
      </c>
      <c r="AE25" s="23">
        <f ca="1" t="shared" si="10"/>
        <v>58</v>
      </c>
      <c r="AF25" s="23">
        <f ca="1" t="shared" si="10"/>
        <v>77</v>
      </c>
    </row>
    <row r="26" ht="15" customHeight="1" spans="1:32">
      <c r="A26" s="22" t="s">
        <v>15</v>
      </c>
      <c r="B26" s="23">
        <f ca="1" t="shared" ref="B26:AF26" si="11">RANDBETWEEN(1,100)</f>
        <v>10</v>
      </c>
      <c r="C26" s="23">
        <f ca="1" t="shared" si="11"/>
        <v>3</v>
      </c>
      <c r="D26" s="23">
        <f ca="1" t="shared" si="11"/>
        <v>41</v>
      </c>
      <c r="E26" s="23">
        <f ca="1" t="shared" si="11"/>
        <v>12</v>
      </c>
      <c r="F26" s="23">
        <f ca="1" t="shared" si="11"/>
        <v>7</v>
      </c>
      <c r="G26" s="23">
        <f ca="1" t="shared" si="11"/>
        <v>40</v>
      </c>
      <c r="H26" s="23">
        <f ca="1" t="shared" si="11"/>
        <v>88</v>
      </c>
      <c r="I26" s="23">
        <f ca="1" t="shared" si="11"/>
        <v>98</v>
      </c>
      <c r="J26" s="23">
        <f ca="1" t="shared" si="11"/>
        <v>65</v>
      </c>
      <c r="K26" s="23">
        <f ca="1" t="shared" si="11"/>
        <v>56</v>
      </c>
      <c r="L26" s="23">
        <f ca="1" t="shared" si="11"/>
        <v>71</v>
      </c>
      <c r="M26" s="23">
        <f ca="1" t="shared" si="11"/>
        <v>82</v>
      </c>
      <c r="N26" s="23">
        <f ca="1" t="shared" si="11"/>
        <v>31</v>
      </c>
      <c r="O26" s="23">
        <f ca="1" t="shared" si="11"/>
        <v>55</v>
      </c>
      <c r="P26" s="23">
        <f ca="1" t="shared" si="11"/>
        <v>12</v>
      </c>
      <c r="Q26" s="23">
        <f ca="1" t="shared" si="11"/>
        <v>47</v>
      </c>
      <c r="R26" s="23">
        <f ca="1" t="shared" si="11"/>
        <v>83</v>
      </c>
      <c r="S26" s="23">
        <f ca="1" t="shared" si="11"/>
        <v>26</v>
      </c>
      <c r="T26" s="23">
        <f ca="1" t="shared" si="11"/>
        <v>54</v>
      </c>
      <c r="U26" s="23">
        <f ca="1" t="shared" si="11"/>
        <v>37</v>
      </c>
      <c r="V26" s="23">
        <f ca="1" t="shared" si="11"/>
        <v>61</v>
      </c>
      <c r="W26" s="23">
        <f ca="1" t="shared" si="11"/>
        <v>48</v>
      </c>
      <c r="X26" s="23">
        <f ca="1" t="shared" si="11"/>
        <v>64</v>
      </c>
      <c r="Y26" s="23">
        <f ca="1" t="shared" si="11"/>
        <v>69</v>
      </c>
      <c r="Z26" s="23">
        <f ca="1" t="shared" si="11"/>
        <v>8</v>
      </c>
      <c r="AA26" s="23">
        <f ca="1" t="shared" si="11"/>
        <v>41</v>
      </c>
      <c r="AB26" s="23">
        <f ca="1" t="shared" si="11"/>
        <v>2</v>
      </c>
      <c r="AC26" s="23">
        <f ca="1" t="shared" si="11"/>
        <v>99</v>
      </c>
      <c r="AD26" s="23">
        <f ca="1" t="shared" si="11"/>
        <v>97</v>
      </c>
      <c r="AE26" s="23">
        <f ca="1" t="shared" si="11"/>
        <v>18</v>
      </c>
      <c r="AF26" s="23">
        <f ca="1" t="shared" si="11"/>
        <v>67</v>
      </c>
    </row>
    <row r="27" ht="15" customHeight="1" spans="1:32">
      <c r="A27" s="22" t="s">
        <v>16</v>
      </c>
      <c r="B27" s="23">
        <f ca="1" t="shared" ref="B27:AF27" si="12">RANDBETWEEN(1,100)</f>
        <v>79</v>
      </c>
      <c r="C27" s="23">
        <f ca="1" t="shared" si="12"/>
        <v>81</v>
      </c>
      <c r="D27" s="23">
        <f ca="1" t="shared" si="12"/>
        <v>87</v>
      </c>
      <c r="E27" s="23">
        <f ca="1" t="shared" si="12"/>
        <v>3</v>
      </c>
      <c r="F27" s="23">
        <f ca="1" t="shared" si="12"/>
        <v>26</v>
      </c>
      <c r="G27" s="23">
        <f ca="1" t="shared" si="12"/>
        <v>87</v>
      </c>
      <c r="H27" s="23">
        <f ca="1" t="shared" si="12"/>
        <v>92</v>
      </c>
      <c r="I27" s="23">
        <f ca="1" t="shared" si="12"/>
        <v>44</v>
      </c>
      <c r="J27" s="23">
        <f ca="1" t="shared" si="12"/>
        <v>95</v>
      </c>
      <c r="K27" s="23">
        <f ca="1" t="shared" si="12"/>
        <v>73</v>
      </c>
      <c r="L27" s="23">
        <f ca="1" t="shared" si="12"/>
        <v>25</v>
      </c>
      <c r="M27" s="23">
        <f ca="1" t="shared" si="12"/>
        <v>51</v>
      </c>
      <c r="N27" s="23">
        <f ca="1" t="shared" si="12"/>
        <v>23</v>
      </c>
      <c r="O27" s="23">
        <f ca="1" t="shared" si="12"/>
        <v>29</v>
      </c>
      <c r="P27" s="23">
        <f ca="1" t="shared" si="12"/>
        <v>25</v>
      </c>
      <c r="Q27" s="23">
        <f ca="1" t="shared" si="12"/>
        <v>14</v>
      </c>
      <c r="R27" s="23">
        <f ca="1" t="shared" si="12"/>
        <v>35</v>
      </c>
      <c r="S27" s="23">
        <f ca="1" t="shared" si="12"/>
        <v>78</v>
      </c>
      <c r="T27" s="23">
        <f ca="1" t="shared" si="12"/>
        <v>44</v>
      </c>
      <c r="U27" s="23">
        <f ca="1" t="shared" si="12"/>
        <v>66</v>
      </c>
      <c r="V27" s="23">
        <f ca="1" t="shared" si="12"/>
        <v>62</v>
      </c>
      <c r="W27" s="23">
        <f ca="1" t="shared" si="12"/>
        <v>16</v>
      </c>
      <c r="X27" s="23">
        <f ca="1" t="shared" si="12"/>
        <v>89</v>
      </c>
      <c r="Y27" s="23">
        <f ca="1" t="shared" si="12"/>
        <v>15</v>
      </c>
      <c r="Z27" s="23">
        <f ca="1" t="shared" si="12"/>
        <v>91</v>
      </c>
      <c r="AA27" s="23">
        <f ca="1" t="shared" si="12"/>
        <v>42</v>
      </c>
      <c r="AB27" s="23">
        <f ca="1" t="shared" si="12"/>
        <v>93</v>
      </c>
      <c r="AC27" s="23">
        <f ca="1" t="shared" si="12"/>
        <v>24</v>
      </c>
      <c r="AD27" s="23">
        <f ca="1" t="shared" si="12"/>
        <v>98</v>
      </c>
      <c r="AE27" s="23">
        <f ca="1" t="shared" si="12"/>
        <v>63</v>
      </c>
      <c r="AF27" s="23">
        <f ca="1" t="shared" si="12"/>
        <v>3</v>
      </c>
    </row>
    <row r="28" ht="15" customHeight="1" spans="1:32">
      <c r="A28" s="22" t="s">
        <v>17</v>
      </c>
      <c r="B28" s="23">
        <f ca="1" t="shared" ref="B28:AF28" si="13">RANDBETWEEN(1,100)</f>
        <v>11</v>
      </c>
      <c r="C28" s="23">
        <f ca="1" t="shared" si="13"/>
        <v>44</v>
      </c>
      <c r="D28" s="23">
        <f ca="1" t="shared" si="13"/>
        <v>51</v>
      </c>
      <c r="E28" s="23">
        <f ca="1" t="shared" si="13"/>
        <v>27</v>
      </c>
      <c r="F28" s="23">
        <f ca="1" t="shared" si="13"/>
        <v>31</v>
      </c>
      <c r="G28" s="23">
        <f ca="1" t="shared" si="13"/>
        <v>49</v>
      </c>
      <c r="H28" s="23">
        <f ca="1" t="shared" si="13"/>
        <v>6</v>
      </c>
      <c r="I28" s="23">
        <f ca="1" t="shared" si="13"/>
        <v>89</v>
      </c>
      <c r="J28" s="23">
        <f ca="1" t="shared" si="13"/>
        <v>44</v>
      </c>
      <c r="K28" s="23">
        <f ca="1" t="shared" si="13"/>
        <v>89</v>
      </c>
      <c r="L28" s="23">
        <f ca="1" t="shared" si="13"/>
        <v>50</v>
      </c>
      <c r="M28" s="23">
        <f ca="1" t="shared" si="13"/>
        <v>47</v>
      </c>
      <c r="N28" s="23">
        <f ca="1" t="shared" si="13"/>
        <v>66</v>
      </c>
      <c r="O28" s="23">
        <f ca="1" t="shared" si="13"/>
        <v>17</v>
      </c>
      <c r="P28" s="23">
        <f ca="1" t="shared" si="13"/>
        <v>79</v>
      </c>
      <c r="Q28" s="23">
        <f ca="1" t="shared" si="13"/>
        <v>11</v>
      </c>
      <c r="R28" s="23">
        <f ca="1" t="shared" si="13"/>
        <v>36</v>
      </c>
      <c r="S28" s="23">
        <f ca="1" t="shared" si="13"/>
        <v>29</v>
      </c>
      <c r="T28" s="23">
        <f ca="1" t="shared" si="13"/>
        <v>53</v>
      </c>
      <c r="U28" s="23">
        <f ca="1" t="shared" si="13"/>
        <v>2</v>
      </c>
      <c r="V28" s="23">
        <f ca="1" t="shared" si="13"/>
        <v>32</v>
      </c>
      <c r="W28" s="23">
        <f ca="1" t="shared" si="13"/>
        <v>9</v>
      </c>
      <c r="X28" s="23">
        <f ca="1" t="shared" si="13"/>
        <v>4</v>
      </c>
      <c r="Y28" s="23">
        <f ca="1" t="shared" si="13"/>
        <v>18</v>
      </c>
      <c r="Z28" s="23">
        <f ca="1" t="shared" si="13"/>
        <v>36</v>
      </c>
      <c r="AA28" s="23">
        <f ca="1" t="shared" si="13"/>
        <v>18</v>
      </c>
      <c r="AB28" s="23">
        <f ca="1" t="shared" si="13"/>
        <v>90</v>
      </c>
      <c r="AC28" s="23">
        <f ca="1" t="shared" si="13"/>
        <v>64</v>
      </c>
      <c r="AD28" s="23">
        <f ca="1" t="shared" si="13"/>
        <v>49</v>
      </c>
      <c r="AE28" s="23">
        <f ca="1" t="shared" si="13"/>
        <v>47</v>
      </c>
      <c r="AF28" s="23">
        <f ca="1" t="shared" si="13"/>
        <v>61</v>
      </c>
    </row>
    <row r="29" ht="15" customHeight="1" spans="1:32">
      <c r="A29" s="22" t="s">
        <v>18</v>
      </c>
      <c r="B29" s="23">
        <f ca="1" t="shared" ref="B29:AF29" si="14">RANDBETWEEN(1,100)</f>
        <v>42</v>
      </c>
      <c r="C29" s="23">
        <f ca="1" t="shared" si="14"/>
        <v>44</v>
      </c>
      <c r="D29" s="23">
        <f ca="1" t="shared" si="14"/>
        <v>48</v>
      </c>
      <c r="E29" s="23">
        <f ca="1" t="shared" si="14"/>
        <v>65</v>
      </c>
      <c r="F29" s="23">
        <f ca="1" t="shared" si="14"/>
        <v>90</v>
      </c>
      <c r="G29" s="23">
        <f ca="1" t="shared" si="14"/>
        <v>19</v>
      </c>
      <c r="H29" s="23">
        <f ca="1" t="shared" si="14"/>
        <v>14</v>
      </c>
      <c r="I29" s="23">
        <f ca="1" t="shared" si="14"/>
        <v>78</v>
      </c>
      <c r="J29" s="23">
        <f ca="1" t="shared" si="14"/>
        <v>60</v>
      </c>
      <c r="K29" s="23">
        <f ca="1" t="shared" si="14"/>
        <v>21</v>
      </c>
      <c r="L29" s="23">
        <f ca="1" t="shared" si="14"/>
        <v>41</v>
      </c>
      <c r="M29" s="23">
        <f ca="1" t="shared" si="14"/>
        <v>78</v>
      </c>
      <c r="N29" s="23">
        <f ca="1" t="shared" si="14"/>
        <v>74</v>
      </c>
      <c r="O29" s="23">
        <f ca="1" t="shared" si="14"/>
        <v>67</v>
      </c>
      <c r="P29" s="23">
        <f ca="1" t="shared" si="14"/>
        <v>81</v>
      </c>
      <c r="Q29" s="23">
        <f ca="1" t="shared" si="14"/>
        <v>24</v>
      </c>
      <c r="R29" s="23">
        <f ca="1" t="shared" si="14"/>
        <v>89</v>
      </c>
      <c r="S29" s="23">
        <f ca="1" t="shared" si="14"/>
        <v>96</v>
      </c>
      <c r="T29" s="23">
        <f ca="1" t="shared" si="14"/>
        <v>32</v>
      </c>
      <c r="U29" s="23">
        <f ca="1" t="shared" si="14"/>
        <v>37</v>
      </c>
      <c r="V29" s="23">
        <f ca="1" t="shared" si="14"/>
        <v>60</v>
      </c>
      <c r="W29" s="23">
        <f ca="1" t="shared" si="14"/>
        <v>72</v>
      </c>
      <c r="X29" s="23">
        <f ca="1" t="shared" si="14"/>
        <v>48</v>
      </c>
      <c r="Y29" s="23">
        <f ca="1" t="shared" si="14"/>
        <v>65</v>
      </c>
      <c r="Z29" s="23">
        <f ca="1" t="shared" si="14"/>
        <v>44</v>
      </c>
      <c r="AA29" s="23">
        <f ca="1" t="shared" si="14"/>
        <v>87</v>
      </c>
      <c r="AB29" s="23">
        <f ca="1" t="shared" si="14"/>
        <v>10</v>
      </c>
      <c r="AC29" s="23">
        <f ca="1" t="shared" si="14"/>
        <v>86</v>
      </c>
      <c r="AD29" s="23">
        <f ca="1" t="shared" si="14"/>
        <v>4</v>
      </c>
      <c r="AE29" s="23">
        <f ca="1" t="shared" si="14"/>
        <v>45</v>
      </c>
      <c r="AF29" s="23">
        <f ca="1" t="shared" si="14"/>
        <v>18</v>
      </c>
    </row>
    <row r="30" ht="15" customHeight="1" spans="1:32">
      <c r="A30" s="22" t="s">
        <v>19</v>
      </c>
      <c r="B30" s="23">
        <f ca="1">RANDBETWEEN(100,500)</f>
        <v>488</v>
      </c>
      <c r="C30" s="23">
        <f ca="1" t="shared" ref="B30:AF30" si="15">RANDBETWEEN(150,500)</f>
        <v>364</v>
      </c>
      <c r="D30" s="23">
        <f ca="1" t="shared" si="15"/>
        <v>461</v>
      </c>
      <c r="E30" s="23">
        <f ca="1" t="shared" si="15"/>
        <v>353</v>
      </c>
      <c r="F30" s="23">
        <f ca="1" t="shared" si="15"/>
        <v>220</v>
      </c>
      <c r="G30" s="23">
        <f ca="1" t="shared" si="15"/>
        <v>283</v>
      </c>
      <c r="H30" s="23">
        <f ca="1" t="shared" si="15"/>
        <v>258</v>
      </c>
      <c r="I30" s="23">
        <f ca="1" t="shared" si="15"/>
        <v>259</v>
      </c>
      <c r="J30" s="23">
        <f ca="1" t="shared" si="15"/>
        <v>202</v>
      </c>
      <c r="K30" s="23">
        <f ca="1" t="shared" si="15"/>
        <v>451</v>
      </c>
      <c r="L30" s="23">
        <f ca="1" t="shared" si="15"/>
        <v>476</v>
      </c>
      <c r="M30" s="23">
        <f ca="1" t="shared" si="15"/>
        <v>490</v>
      </c>
      <c r="N30" s="23">
        <f ca="1" t="shared" si="15"/>
        <v>457</v>
      </c>
      <c r="O30" s="23">
        <f ca="1" t="shared" si="15"/>
        <v>463</v>
      </c>
      <c r="P30" s="23">
        <f ca="1" t="shared" si="15"/>
        <v>352</v>
      </c>
      <c r="Q30" s="23">
        <f ca="1" t="shared" si="15"/>
        <v>235</v>
      </c>
      <c r="R30" s="23">
        <f ca="1" t="shared" si="15"/>
        <v>243</v>
      </c>
      <c r="S30" s="23">
        <f ca="1" t="shared" si="15"/>
        <v>306</v>
      </c>
      <c r="T30" s="23">
        <f ca="1" t="shared" si="15"/>
        <v>388</v>
      </c>
      <c r="U30" s="23">
        <f ca="1" t="shared" si="15"/>
        <v>372</v>
      </c>
      <c r="V30" s="23">
        <f ca="1" t="shared" si="15"/>
        <v>338</v>
      </c>
      <c r="W30" s="23">
        <f ca="1" t="shared" si="15"/>
        <v>457</v>
      </c>
      <c r="X30" s="23">
        <f ca="1" t="shared" si="15"/>
        <v>275</v>
      </c>
      <c r="Y30" s="23">
        <f ca="1" t="shared" si="15"/>
        <v>180</v>
      </c>
      <c r="Z30" s="23">
        <f ca="1" t="shared" si="15"/>
        <v>213</v>
      </c>
      <c r="AA30" s="23">
        <f ca="1" t="shared" si="15"/>
        <v>173</v>
      </c>
      <c r="AB30" s="23">
        <f ca="1" t="shared" si="15"/>
        <v>271</v>
      </c>
      <c r="AC30" s="23">
        <f ca="1" t="shared" si="15"/>
        <v>480</v>
      </c>
      <c r="AD30" s="23">
        <f ca="1" t="shared" si="15"/>
        <v>200</v>
      </c>
      <c r="AE30" s="23">
        <f ca="1" t="shared" si="15"/>
        <v>293</v>
      </c>
      <c r="AF30" s="23">
        <f ca="1" t="shared" si="15"/>
        <v>259</v>
      </c>
    </row>
    <row r="31" ht="15" customHeight="1" spans="1:32">
      <c r="A31" s="20" t="s">
        <v>20</v>
      </c>
      <c r="B31" s="23">
        <f ca="1" t="shared" ref="B31:AF31" si="16">SUM(B15:B30)</f>
        <v>1097</v>
      </c>
      <c r="C31" s="23">
        <f ca="1" t="shared" si="16"/>
        <v>1155</v>
      </c>
      <c r="D31" s="23">
        <f ca="1" t="shared" si="16"/>
        <v>1123</v>
      </c>
      <c r="E31" s="23">
        <f ca="1" t="shared" si="16"/>
        <v>1164</v>
      </c>
      <c r="F31" s="23">
        <f ca="1" t="shared" si="16"/>
        <v>861</v>
      </c>
      <c r="G31" s="23">
        <f ca="1" t="shared" si="16"/>
        <v>1151</v>
      </c>
      <c r="H31" s="23">
        <f ca="1" t="shared" si="16"/>
        <v>754</v>
      </c>
      <c r="I31" s="23">
        <f ca="1" t="shared" si="16"/>
        <v>1056</v>
      </c>
      <c r="J31" s="23">
        <f ca="1" t="shared" si="16"/>
        <v>993</v>
      </c>
      <c r="K31" s="23">
        <f ca="1" t="shared" si="16"/>
        <v>1292</v>
      </c>
      <c r="L31" s="23">
        <f ca="1" t="shared" si="16"/>
        <v>1282</v>
      </c>
      <c r="M31" s="23">
        <f ca="1" t="shared" si="16"/>
        <v>1320</v>
      </c>
      <c r="N31" s="23">
        <f ca="1" t="shared" si="16"/>
        <v>1333</v>
      </c>
      <c r="O31" s="23">
        <f ca="1" t="shared" si="16"/>
        <v>1092</v>
      </c>
      <c r="P31" s="23">
        <f ca="1" t="shared" si="16"/>
        <v>1238</v>
      </c>
      <c r="Q31" s="23">
        <f ca="1" t="shared" si="16"/>
        <v>782</v>
      </c>
      <c r="R31" s="23">
        <f ca="1" t="shared" si="16"/>
        <v>1191</v>
      </c>
      <c r="S31" s="23">
        <f ca="1" t="shared" si="16"/>
        <v>1121</v>
      </c>
      <c r="T31" s="23">
        <f ca="1" t="shared" si="16"/>
        <v>1174</v>
      </c>
      <c r="U31" s="23">
        <f ca="1" t="shared" si="16"/>
        <v>1047</v>
      </c>
      <c r="V31" s="23">
        <f ca="1" t="shared" si="16"/>
        <v>1163</v>
      </c>
      <c r="W31" s="23">
        <f ca="1" t="shared" si="16"/>
        <v>980</v>
      </c>
      <c r="X31" s="23">
        <f ca="1" t="shared" si="16"/>
        <v>1028</v>
      </c>
      <c r="Y31" s="23">
        <f ca="1" t="shared" si="16"/>
        <v>992</v>
      </c>
      <c r="Z31" s="23">
        <f ca="1" t="shared" si="16"/>
        <v>915</v>
      </c>
      <c r="AA31" s="23">
        <f ca="1" t="shared" si="16"/>
        <v>981</v>
      </c>
      <c r="AB31" s="23">
        <f ca="1" t="shared" si="16"/>
        <v>1073</v>
      </c>
      <c r="AC31" s="23">
        <f ca="1" t="shared" si="16"/>
        <v>1414</v>
      </c>
      <c r="AD31" s="23">
        <f ca="1" t="shared" si="16"/>
        <v>1140</v>
      </c>
      <c r="AE31" s="23">
        <f ca="1" t="shared" si="16"/>
        <v>1026</v>
      </c>
      <c r="AF31" s="23">
        <f ca="1" t="shared" si="16"/>
        <v>1109</v>
      </c>
    </row>
    <row r="33" spans="1:10">
      <c r="A33" s="20" t="s">
        <v>21</v>
      </c>
      <c r="B33" s="20" t="s">
        <v>22</v>
      </c>
      <c r="C33" s="20" t="s">
        <v>23</v>
      </c>
      <c r="D33" s="24" t="s">
        <v>24</v>
      </c>
      <c r="E33" s="25"/>
      <c r="G33" s="20" t="s">
        <v>25</v>
      </c>
      <c r="H33" s="20" t="s">
        <v>26</v>
      </c>
      <c r="I33" s="20" t="s">
        <v>27</v>
      </c>
      <c r="J33" s="20" t="s">
        <v>28</v>
      </c>
    </row>
    <row r="34" spans="1:10">
      <c r="A34" s="23">
        <f ca="1">INT(SUM(B36:AF36)/COUNT(B36:AF36))</f>
        <v>1098</v>
      </c>
      <c r="B34" s="23">
        <f ca="1">MIN(B36:AF36)</f>
        <v>754</v>
      </c>
      <c r="C34" s="23">
        <f ca="1">MAX(B36:AF36)</f>
        <v>1414</v>
      </c>
      <c r="D34" s="26">
        <f ca="1">SMALL(B36:AF36,3)</f>
        <v>861</v>
      </c>
      <c r="E34" s="27"/>
      <c r="G34" s="23">
        <f ca="1">SUM(B31:K31)</f>
        <v>10646</v>
      </c>
      <c r="H34" s="23">
        <f ca="1">SUM(L31:U31)</f>
        <v>11580</v>
      </c>
      <c r="I34" s="23">
        <f ca="1">SUM(V31:AF31)</f>
        <v>11821</v>
      </c>
      <c r="J34" s="23">
        <f ca="1">SUM(31:31)</f>
        <v>34047</v>
      </c>
    </row>
    <row r="36" spans="1:32">
      <c r="A36" s="20" t="s">
        <v>29</v>
      </c>
      <c r="B36" s="23">
        <f ca="1" t="shared" ref="B36:AF36" si="17">B31</f>
        <v>1097</v>
      </c>
      <c r="C36" s="23">
        <f ca="1" t="shared" si="17"/>
        <v>1155</v>
      </c>
      <c r="D36" s="23">
        <f ca="1" t="shared" si="17"/>
        <v>1123</v>
      </c>
      <c r="E36" s="23">
        <f ca="1" t="shared" si="17"/>
        <v>1164</v>
      </c>
      <c r="F36" s="23">
        <f ca="1" t="shared" si="17"/>
        <v>861</v>
      </c>
      <c r="G36" s="23">
        <f ca="1" t="shared" si="17"/>
        <v>1151</v>
      </c>
      <c r="H36" s="23">
        <f ca="1" t="shared" si="17"/>
        <v>754</v>
      </c>
      <c r="I36" s="23">
        <f ca="1" t="shared" si="17"/>
        <v>1056</v>
      </c>
      <c r="J36" s="23">
        <f ca="1" t="shared" si="17"/>
        <v>993</v>
      </c>
      <c r="K36" s="23">
        <f ca="1" t="shared" si="17"/>
        <v>1292</v>
      </c>
      <c r="L36" s="23">
        <f ca="1" t="shared" si="17"/>
        <v>1282</v>
      </c>
      <c r="M36" s="23">
        <f ca="1" t="shared" si="17"/>
        <v>1320</v>
      </c>
      <c r="N36" s="23">
        <f ca="1" t="shared" si="17"/>
        <v>1333</v>
      </c>
      <c r="O36" s="23">
        <f ca="1" t="shared" si="17"/>
        <v>1092</v>
      </c>
      <c r="P36" s="23">
        <f ca="1" t="shared" si="17"/>
        <v>1238</v>
      </c>
      <c r="Q36" s="23">
        <f ca="1" t="shared" si="17"/>
        <v>782</v>
      </c>
      <c r="R36" s="23">
        <f ca="1" t="shared" si="17"/>
        <v>1191</v>
      </c>
      <c r="S36" s="23">
        <f ca="1" t="shared" si="17"/>
        <v>1121</v>
      </c>
      <c r="T36" s="23">
        <f ca="1" t="shared" si="17"/>
        <v>1174</v>
      </c>
      <c r="U36" s="23">
        <f ca="1" t="shared" si="17"/>
        <v>1047</v>
      </c>
      <c r="V36" s="23">
        <f ca="1" t="shared" si="17"/>
        <v>1163</v>
      </c>
      <c r="W36" s="23">
        <f ca="1" t="shared" si="17"/>
        <v>980</v>
      </c>
      <c r="X36" s="23">
        <f ca="1" t="shared" si="17"/>
        <v>1028</v>
      </c>
      <c r="Y36" s="23">
        <f ca="1" t="shared" si="17"/>
        <v>992</v>
      </c>
      <c r="Z36" s="23">
        <f ca="1" t="shared" si="17"/>
        <v>915</v>
      </c>
      <c r="AA36" s="23">
        <f ca="1" t="shared" si="17"/>
        <v>981</v>
      </c>
      <c r="AB36" s="23">
        <f ca="1" t="shared" si="17"/>
        <v>1073</v>
      </c>
      <c r="AC36" s="23">
        <f ca="1" t="shared" si="17"/>
        <v>1414</v>
      </c>
      <c r="AD36" s="23">
        <f ca="1" t="shared" si="17"/>
        <v>1140</v>
      </c>
      <c r="AE36" s="23">
        <f ca="1" t="shared" si="17"/>
        <v>1026</v>
      </c>
      <c r="AF36" s="23">
        <f ca="1" t="shared" si="17"/>
        <v>1109</v>
      </c>
    </row>
    <row r="37" spans="1:32">
      <c r="A37" s="20" t="s">
        <v>30</v>
      </c>
      <c r="B37" s="23">
        <f ca="1">INT(SUM(B36:AF36)/COUNT(B36:AF36))</f>
        <v>1098</v>
      </c>
      <c r="C37" s="23">
        <f ca="1">INT(SUM(B36:AF36)/COUNT(B36:AF36))</f>
        <v>1098</v>
      </c>
      <c r="D37" s="23">
        <f ca="1">INT(SUM(B36:AF36)/COUNT(B36:AF36))</f>
        <v>1098</v>
      </c>
      <c r="E37" s="23">
        <f ca="1">INT(SUM(B36:AF36)/COUNT(B36:AF36))</f>
        <v>1098</v>
      </c>
      <c r="F37" s="23">
        <f ca="1">INT(SUM(B36:AF36)/COUNT(B36:AF36))</f>
        <v>1098</v>
      </c>
      <c r="G37" s="23">
        <f ca="1">INT(SUM(B36:AF36)/COUNT(B36:AF36))</f>
        <v>1098</v>
      </c>
      <c r="H37" s="23">
        <f ca="1">INT(SUM(B36:AF36)/COUNT(B36:AF36))</f>
        <v>1098</v>
      </c>
      <c r="I37" s="23">
        <f ca="1">INT(SUM(B36:AF36)/COUNT(B36:AF36))</f>
        <v>1098</v>
      </c>
      <c r="J37" s="23">
        <f ca="1">INT(SUM(B36:AF36)/COUNT(B36:AF36))</f>
        <v>1098</v>
      </c>
      <c r="K37" s="23">
        <f ca="1">INT(SUM(B36:AF36)/COUNT(B36:AF36))</f>
        <v>1098</v>
      </c>
      <c r="L37" s="23">
        <f ca="1">INT(SUM(B36:AF36)/COUNT(B36:AF36))</f>
        <v>1098</v>
      </c>
      <c r="M37" s="23">
        <f ca="1">INT(SUM(B36:AF36)/COUNT(B36:AF36))</f>
        <v>1098</v>
      </c>
      <c r="N37" s="23">
        <f ca="1">INT(SUM(B36:AF36)/COUNT(B36:AF36))</f>
        <v>1098</v>
      </c>
      <c r="O37" s="23">
        <f ca="1">INT(SUM(B36:AF36)/COUNT(B36:AF36))</f>
        <v>1098</v>
      </c>
      <c r="P37" s="23">
        <f ca="1">INT(SUM(B36:AF36)/COUNT(B36:AF36))</f>
        <v>1098</v>
      </c>
      <c r="Q37" s="23">
        <f ca="1">INT(SUM(B36:AF36)/COUNT(B36:AF36))</f>
        <v>1098</v>
      </c>
      <c r="R37" s="23">
        <f ca="1">INT(SUM(B36:AF36)/COUNT(B36:AF36))</f>
        <v>1098</v>
      </c>
      <c r="S37" s="23">
        <f ca="1">INT(SUM(B36:AF36)/COUNT(B36:AF36))</f>
        <v>1098</v>
      </c>
      <c r="T37" s="23">
        <f ca="1">INT(SUM(B36:AF36)/COUNT(B36:AF36))</f>
        <v>1098</v>
      </c>
      <c r="U37" s="23">
        <f ca="1">INT(SUM(B36:AF36)/COUNT(B36:AF36))</f>
        <v>1098</v>
      </c>
      <c r="V37" s="23">
        <f ca="1">INT(SUM(B36:AF36)/COUNT(B36:AF36))</f>
        <v>1098</v>
      </c>
      <c r="W37" s="23">
        <f ca="1">INT(SUM(B36:AF36)/COUNT(B36:AF36))</f>
        <v>1098</v>
      </c>
      <c r="X37" s="23">
        <f ca="1">INT(SUM(B36:AF36)/COUNT(B36:AF36))</f>
        <v>1098</v>
      </c>
      <c r="Y37" s="23">
        <f ca="1">INT(SUM(B36:AF36)/COUNT(B36:AF36))</f>
        <v>1098</v>
      </c>
      <c r="Z37" s="23">
        <f ca="1">INT(SUM(B36:AF36)/COUNT(B36:AF36))</f>
        <v>1098</v>
      </c>
      <c r="AA37" s="23">
        <f ca="1">INT(SUM(B36:AF36)/COUNT(B36:AF36))</f>
        <v>1098</v>
      </c>
      <c r="AB37" s="23">
        <f ca="1">INT(SUM(B36:AF36)/COUNT(B36:AF36))</f>
        <v>1098</v>
      </c>
      <c r="AC37" s="23">
        <f ca="1">INT(SUM(B36:AF36)/COUNT(B36:AF36))</f>
        <v>1098</v>
      </c>
      <c r="AD37" s="23">
        <f ca="1">INT(SUM(B36:AF36)/COUNT(B36:AF36))</f>
        <v>1098</v>
      </c>
      <c r="AE37" s="23">
        <f ca="1">INT(SUM(B36:AF36)/COUNT(B36:AF36))</f>
        <v>1098</v>
      </c>
      <c r="AF37" s="23">
        <f ca="1">INT(SUM(B36:AF36)/COUNT(B36:AF36))</f>
        <v>1098</v>
      </c>
    </row>
    <row r="38" spans="1:32">
      <c r="A38" s="20" t="s">
        <v>31</v>
      </c>
      <c r="B38" s="23" t="e">
        <f ca="1" t="shared" ref="B38:AF38" si="18">IF(B36&gt;B37,B36,NA())</f>
        <v>#N/A</v>
      </c>
      <c r="C38" s="23">
        <f ca="1" t="shared" si="18"/>
        <v>1155</v>
      </c>
      <c r="D38" s="23">
        <f ca="1" t="shared" si="18"/>
        <v>1123</v>
      </c>
      <c r="E38" s="23">
        <f ca="1" t="shared" si="18"/>
        <v>1164</v>
      </c>
      <c r="F38" s="23" t="e">
        <f ca="1" t="shared" si="18"/>
        <v>#N/A</v>
      </c>
      <c r="G38" s="23">
        <f ca="1" t="shared" si="18"/>
        <v>1151</v>
      </c>
      <c r="H38" s="23" t="e">
        <f ca="1" t="shared" si="18"/>
        <v>#N/A</v>
      </c>
      <c r="I38" s="23" t="e">
        <f ca="1" t="shared" si="18"/>
        <v>#N/A</v>
      </c>
      <c r="J38" s="23" t="e">
        <f ca="1" t="shared" si="18"/>
        <v>#N/A</v>
      </c>
      <c r="K38" s="23">
        <f ca="1" t="shared" si="18"/>
        <v>1292</v>
      </c>
      <c r="L38" s="23">
        <f ca="1" t="shared" si="18"/>
        <v>1282</v>
      </c>
      <c r="M38" s="23">
        <f ca="1" t="shared" si="18"/>
        <v>1320</v>
      </c>
      <c r="N38" s="23">
        <f ca="1" t="shared" si="18"/>
        <v>1333</v>
      </c>
      <c r="O38" s="23" t="e">
        <f ca="1" t="shared" si="18"/>
        <v>#N/A</v>
      </c>
      <c r="P38" s="23">
        <f ca="1" t="shared" si="18"/>
        <v>1238</v>
      </c>
      <c r="Q38" s="23" t="e">
        <f ca="1" t="shared" si="18"/>
        <v>#N/A</v>
      </c>
      <c r="R38" s="23">
        <f ca="1" t="shared" si="18"/>
        <v>1191</v>
      </c>
      <c r="S38" s="23">
        <f ca="1" t="shared" si="18"/>
        <v>1121</v>
      </c>
      <c r="T38" s="23">
        <f ca="1" t="shared" si="18"/>
        <v>1174</v>
      </c>
      <c r="U38" s="23" t="e">
        <f ca="1" t="shared" si="18"/>
        <v>#N/A</v>
      </c>
      <c r="V38" s="23">
        <f ca="1" t="shared" si="18"/>
        <v>1163</v>
      </c>
      <c r="W38" s="23" t="e">
        <f ca="1" t="shared" si="18"/>
        <v>#N/A</v>
      </c>
      <c r="X38" s="23" t="e">
        <f ca="1" t="shared" si="18"/>
        <v>#N/A</v>
      </c>
      <c r="Y38" s="23" t="e">
        <f ca="1" t="shared" si="18"/>
        <v>#N/A</v>
      </c>
      <c r="Z38" s="23" t="e">
        <f ca="1" t="shared" si="18"/>
        <v>#N/A</v>
      </c>
      <c r="AA38" s="23" t="e">
        <f ca="1" t="shared" si="18"/>
        <v>#N/A</v>
      </c>
      <c r="AB38" s="23" t="e">
        <f ca="1" t="shared" si="18"/>
        <v>#N/A</v>
      </c>
      <c r="AC38" s="23">
        <f ca="1" t="shared" si="18"/>
        <v>1414</v>
      </c>
      <c r="AD38" s="23">
        <f ca="1" t="shared" si="18"/>
        <v>1140</v>
      </c>
      <c r="AE38" s="23" t="e">
        <f ca="1" t="shared" si="18"/>
        <v>#N/A</v>
      </c>
      <c r="AF38" s="23">
        <f ca="1" t="shared" si="18"/>
        <v>1109</v>
      </c>
    </row>
    <row r="39" spans="1:32">
      <c r="A39" s="20" t="s">
        <v>32</v>
      </c>
      <c r="B39" s="23">
        <f ca="1" t="shared" ref="B39:AF39" si="19">IF(B36&lt;D34,B36,IF(B36&lt;B37,B36,NA()))</f>
        <v>1097</v>
      </c>
      <c r="C39" s="23" t="e">
        <f ca="1" t="shared" si="19"/>
        <v>#N/A</v>
      </c>
      <c r="D39" s="23">
        <f ca="1">IF(D36&lt;J34,D36,IF(D36&lt;D37,D36,NA()))</f>
        <v>1123</v>
      </c>
      <c r="E39" s="23">
        <f ca="1" t="shared" si="19"/>
        <v>1164</v>
      </c>
      <c r="F39" s="23">
        <f ca="1" t="shared" si="19"/>
        <v>861</v>
      </c>
      <c r="G39" s="23">
        <f ca="1" t="shared" si="19"/>
        <v>1151</v>
      </c>
      <c r="H39" s="23" t="e">
        <f ca="1">IF(H36&lt;#REF!,H36,IF(H36&lt;H37,H36,NA()))</f>
        <v>#REF!</v>
      </c>
      <c r="I39" s="23">
        <f ca="1" t="shared" si="19"/>
        <v>1056</v>
      </c>
      <c r="J39" s="23">
        <f ca="1" t="shared" si="19"/>
        <v>993</v>
      </c>
      <c r="K39" s="23" t="e">
        <f ca="1" t="shared" si="19"/>
        <v>#N/A</v>
      </c>
      <c r="L39" s="23" t="e">
        <f ca="1" t="shared" si="19"/>
        <v>#N/A</v>
      </c>
      <c r="M39" s="23" t="e">
        <f ca="1" t="shared" si="19"/>
        <v>#N/A</v>
      </c>
      <c r="N39" s="23" t="e">
        <f ca="1" t="shared" si="19"/>
        <v>#N/A</v>
      </c>
      <c r="O39" s="23">
        <f ca="1" t="shared" si="19"/>
        <v>1092</v>
      </c>
      <c r="P39" s="23" t="e">
        <f ca="1" t="shared" si="19"/>
        <v>#N/A</v>
      </c>
      <c r="Q39" s="23">
        <f ca="1" t="shared" si="19"/>
        <v>782</v>
      </c>
      <c r="R39" s="23" t="e">
        <f ca="1" t="shared" si="19"/>
        <v>#N/A</v>
      </c>
      <c r="S39" s="23" t="e">
        <f ca="1" t="shared" si="19"/>
        <v>#N/A</v>
      </c>
      <c r="T39" s="23" t="e">
        <f ca="1" t="shared" si="19"/>
        <v>#N/A</v>
      </c>
      <c r="U39" s="23">
        <f ca="1" t="shared" si="19"/>
        <v>1047</v>
      </c>
      <c r="V39" s="23" t="e">
        <f ca="1" t="shared" si="19"/>
        <v>#N/A</v>
      </c>
      <c r="W39" s="23">
        <f ca="1" t="shared" si="19"/>
        <v>980</v>
      </c>
      <c r="X39" s="23">
        <f ca="1" t="shared" si="19"/>
        <v>1028</v>
      </c>
      <c r="Y39" s="23">
        <f ca="1" t="shared" si="19"/>
        <v>992</v>
      </c>
      <c r="Z39" s="23">
        <f ca="1" t="shared" si="19"/>
        <v>915</v>
      </c>
      <c r="AA39" s="23">
        <f ca="1" t="shared" si="19"/>
        <v>981</v>
      </c>
      <c r="AB39" s="23">
        <f ca="1" t="shared" si="19"/>
        <v>1073</v>
      </c>
      <c r="AC39" s="23" t="e">
        <f ca="1" t="shared" si="19"/>
        <v>#N/A</v>
      </c>
      <c r="AD39" s="23" t="e">
        <f ca="1" t="shared" si="19"/>
        <v>#N/A</v>
      </c>
      <c r="AE39" s="23">
        <f ca="1" t="shared" si="19"/>
        <v>1026</v>
      </c>
      <c r="AF39" s="23" t="e">
        <f ca="1" t="shared" si="19"/>
        <v>#N/A</v>
      </c>
    </row>
    <row r="41" spans="1:8">
      <c r="A41" s="20"/>
      <c r="B41" s="20" t="s">
        <v>33</v>
      </c>
      <c r="C41" s="20" t="e">
        <f t="shared" ref="C41:G41" si="20">NA()</f>
        <v>#N/A</v>
      </c>
      <c r="D41" s="20" t="s">
        <v>34</v>
      </c>
      <c r="E41" s="20" t="e">
        <f t="shared" si="20"/>
        <v>#N/A</v>
      </c>
      <c r="F41" s="20" t="s">
        <v>35</v>
      </c>
      <c r="G41" s="20" t="e">
        <f t="shared" si="20"/>
        <v>#N/A</v>
      </c>
      <c r="H41" s="20" t="s">
        <v>36</v>
      </c>
    </row>
    <row r="42" spans="1:32">
      <c r="A42" s="20" t="s">
        <v>37</v>
      </c>
      <c r="B42" s="28">
        <f ca="1">SUM(LARGE(B36:AF36,{1,2,3,4,5}))/J34*100%</f>
        <v>0.195053896084824</v>
      </c>
      <c r="C42" s="29" t="e">
        <f t="shared" ref="C42:G42" si="21">NA()</f>
        <v>#N/A</v>
      </c>
      <c r="D42" s="29">
        <f ca="1">SUM(LARGE(B36:AF36,{1,2,3,4,5,6,7,8,9,10}))/J34*100%</f>
        <v>0.369224894998091</v>
      </c>
      <c r="E42" s="29" t="e">
        <f t="shared" si="21"/>
        <v>#N/A</v>
      </c>
      <c r="F42" s="29">
        <f ca="1">SUM(SMALL(B36:AF36,1),SMALL(B36:AF36,2),SMALL(B36:AF36,3),SMALL(B36:AF36,4),SMALL(B36:AF36,5),SMALL(B36:AF36,6),SMALL(B36:AF36,7),SMALL(B36:AF36,8),SMALL(B36:AF36,9),SMALL(B36:AF36,10))/J34*100%</f>
        <v>0.273504273504274</v>
      </c>
      <c r="G42" s="29" t="e">
        <f t="shared" si="21"/>
        <v>#N/A</v>
      </c>
      <c r="H42" s="29">
        <f ca="1">SUM(SMALL(B36:AF36,1),SMALL(B36:AF36,2),SMALL(B36:AF36,3),SMALL(B36:AF36,4),SMALL(B36:AF36,5))/J34*100%</f>
        <v>0.126061033277528</v>
      </c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2:32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2:26">
      <c r="B44" s="31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7"/>
      <c r="S44" s="38"/>
      <c r="T44" s="39"/>
      <c r="U44" s="39"/>
      <c r="V44" s="39"/>
      <c r="W44" s="39"/>
      <c r="X44" s="39"/>
      <c r="Y44" s="39"/>
      <c r="Z44" s="45"/>
    </row>
    <row r="45" spans="2:26">
      <c r="B45" s="33"/>
      <c r="R45" s="40"/>
      <c r="S45" s="41"/>
      <c r="T45" s="42"/>
      <c r="U45" s="42"/>
      <c r="V45" s="42"/>
      <c r="W45" s="42"/>
      <c r="X45" s="42"/>
      <c r="Y45" s="42"/>
      <c r="Z45" s="46"/>
    </row>
    <row r="46" spans="2:26">
      <c r="B46" s="33"/>
      <c r="R46" s="40"/>
      <c r="S46" s="41"/>
      <c r="T46" s="42"/>
      <c r="U46" s="42"/>
      <c r="V46" s="42"/>
      <c r="W46" s="42"/>
      <c r="X46" s="42"/>
      <c r="Y46" s="42"/>
      <c r="Z46" s="46"/>
    </row>
    <row r="47" spans="2:26">
      <c r="B47" s="33"/>
      <c r="R47" s="40"/>
      <c r="S47" s="41"/>
      <c r="T47" s="42"/>
      <c r="U47" s="42"/>
      <c r="V47" s="42"/>
      <c r="W47" s="42"/>
      <c r="X47" s="42"/>
      <c r="Y47" s="42"/>
      <c r="Z47" s="46"/>
    </row>
    <row r="48" spans="2:26">
      <c r="B48" s="33"/>
      <c r="R48" s="40"/>
      <c r="S48" s="41"/>
      <c r="T48" s="42"/>
      <c r="U48" s="42"/>
      <c r="V48" s="42"/>
      <c r="W48" s="42"/>
      <c r="X48" s="42"/>
      <c r="Y48" s="42"/>
      <c r="Z48" s="46"/>
    </row>
    <row r="49" spans="2:26">
      <c r="B49" s="33"/>
      <c r="R49" s="40"/>
      <c r="S49" s="41"/>
      <c r="T49" s="42"/>
      <c r="U49" s="42"/>
      <c r="V49" s="42"/>
      <c r="W49" s="42"/>
      <c r="X49" s="42"/>
      <c r="Y49" s="42"/>
      <c r="Z49" s="46"/>
    </row>
    <row r="50" spans="2:26">
      <c r="B50" s="33"/>
      <c r="R50" s="40"/>
      <c r="S50" s="41"/>
      <c r="T50" s="42"/>
      <c r="U50" s="42"/>
      <c r="V50" s="42"/>
      <c r="W50" s="42"/>
      <c r="X50" s="42"/>
      <c r="Y50" s="42"/>
      <c r="Z50" s="46"/>
    </row>
    <row r="51" spans="2:26">
      <c r="B51" s="33"/>
      <c r="R51" s="40"/>
      <c r="S51" s="41"/>
      <c r="T51" s="42"/>
      <c r="U51" s="42"/>
      <c r="V51" s="42"/>
      <c r="W51" s="42"/>
      <c r="X51" s="42"/>
      <c r="Y51" s="42"/>
      <c r="Z51" s="46"/>
    </row>
    <row r="52" spans="2:26">
      <c r="B52" s="33"/>
      <c r="R52" s="40"/>
      <c r="S52" s="41"/>
      <c r="T52" s="42"/>
      <c r="U52" s="42"/>
      <c r="V52" s="42"/>
      <c r="W52" s="42"/>
      <c r="X52" s="42"/>
      <c r="Y52" s="42"/>
      <c r="Z52" s="46"/>
    </row>
    <row r="53" spans="2:26">
      <c r="B53" s="33"/>
      <c r="R53" s="40"/>
      <c r="S53" s="41"/>
      <c r="T53" s="42"/>
      <c r="U53" s="42"/>
      <c r="V53" s="42"/>
      <c r="W53" s="42"/>
      <c r="X53" s="42"/>
      <c r="Y53" s="42"/>
      <c r="Z53" s="46"/>
    </row>
    <row r="54" spans="2:26">
      <c r="B54" s="33"/>
      <c r="R54" s="40"/>
      <c r="S54" s="41"/>
      <c r="T54" s="42"/>
      <c r="U54" s="42"/>
      <c r="V54" s="42"/>
      <c r="W54" s="42"/>
      <c r="X54" s="42"/>
      <c r="Y54" s="42"/>
      <c r="Z54" s="46"/>
    </row>
    <row r="55" spans="2:26">
      <c r="B55" s="33"/>
      <c r="R55" s="40"/>
      <c r="S55" s="41"/>
      <c r="T55" s="42"/>
      <c r="U55" s="42"/>
      <c r="V55" s="42"/>
      <c r="W55" s="42"/>
      <c r="X55" s="42"/>
      <c r="Y55" s="42"/>
      <c r="Z55" s="46"/>
    </row>
    <row r="56" spans="2:26">
      <c r="B56" s="33"/>
      <c r="R56" s="40"/>
      <c r="S56" s="41"/>
      <c r="T56" s="42"/>
      <c r="U56" s="42"/>
      <c r="V56" s="42"/>
      <c r="W56" s="42"/>
      <c r="X56" s="42"/>
      <c r="Y56" s="42"/>
      <c r="Z56" s="46"/>
    </row>
    <row r="57" spans="2:26">
      <c r="B57" s="33"/>
      <c r="R57" s="40"/>
      <c r="S57" s="41"/>
      <c r="T57" s="42"/>
      <c r="U57" s="42"/>
      <c r="V57" s="42"/>
      <c r="W57" s="42"/>
      <c r="X57" s="42"/>
      <c r="Y57" s="42"/>
      <c r="Z57" s="46"/>
    </row>
    <row r="58" spans="2:26">
      <c r="B58" s="33"/>
      <c r="R58" s="40"/>
      <c r="S58" s="43"/>
      <c r="T58" s="44"/>
      <c r="U58" s="44"/>
      <c r="V58" s="44"/>
      <c r="W58" s="44"/>
      <c r="X58" s="44"/>
      <c r="Y58" s="44"/>
      <c r="Z58" s="47"/>
    </row>
    <row r="59" spans="2:26">
      <c r="B59" s="33"/>
      <c r="R59" s="40"/>
      <c r="S59" s="31"/>
      <c r="T59" s="32"/>
      <c r="U59" s="32"/>
      <c r="V59" s="32"/>
      <c r="W59" s="32"/>
      <c r="X59" s="32"/>
      <c r="Y59" s="32"/>
      <c r="Z59" s="37"/>
    </row>
    <row r="60" spans="2:26">
      <c r="B60" s="33"/>
      <c r="R60" s="40"/>
      <c r="S60" s="33"/>
      <c r="Z60" s="40"/>
    </row>
    <row r="61" spans="2:26">
      <c r="B61" s="33"/>
      <c r="R61" s="40"/>
      <c r="S61" s="33"/>
      <c r="Z61" s="40"/>
    </row>
    <row r="62" spans="2:26">
      <c r="B62" s="33"/>
      <c r="R62" s="40"/>
      <c r="S62" s="33"/>
      <c r="Z62" s="40"/>
    </row>
    <row r="63" spans="2:26">
      <c r="B63" s="33"/>
      <c r="R63" s="40"/>
      <c r="S63" s="33"/>
      <c r="Z63" s="40"/>
    </row>
    <row r="64" spans="2:26">
      <c r="B64" s="33"/>
      <c r="R64" s="40"/>
      <c r="S64" s="33"/>
      <c r="Z64" s="40"/>
    </row>
    <row r="65" spans="2:26">
      <c r="B65" s="33"/>
      <c r="R65" s="40"/>
      <c r="S65" s="33"/>
      <c r="Z65" s="40"/>
    </row>
    <row r="66" spans="2:26">
      <c r="B66" s="33"/>
      <c r="R66" s="40"/>
      <c r="S66" s="33"/>
      <c r="Z66" s="40"/>
    </row>
    <row r="67" spans="2:26">
      <c r="B67" s="33"/>
      <c r="R67" s="40"/>
      <c r="S67" s="33"/>
      <c r="Z67" s="40"/>
    </row>
    <row r="68" spans="2:26">
      <c r="B68" s="33"/>
      <c r="R68" s="40"/>
      <c r="S68" s="33"/>
      <c r="Z68" s="40"/>
    </row>
    <row r="69" spans="2:26">
      <c r="B69" s="33"/>
      <c r="R69" s="40"/>
      <c r="S69" s="33"/>
      <c r="Z69" s="40"/>
    </row>
    <row r="70" spans="2:26">
      <c r="B70" s="33"/>
      <c r="R70" s="40"/>
      <c r="S70" s="33"/>
      <c r="Z70" s="40"/>
    </row>
    <row r="71" spans="2:26">
      <c r="B71" s="33"/>
      <c r="R71" s="40"/>
      <c r="S71" s="33"/>
      <c r="Z71" s="40"/>
    </row>
    <row r="72" spans="2:26">
      <c r="B72" s="33"/>
      <c r="R72" s="40"/>
      <c r="S72" s="33"/>
      <c r="Z72" s="40"/>
    </row>
    <row r="73" spans="2:26"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64"/>
      <c r="S73" s="49"/>
      <c r="T73" s="50"/>
      <c r="U73" s="50"/>
      <c r="V73" s="50"/>
      <c r="W73" s="50"/>
      <c r="X73" s="50"/>
      <c r="Y73" s="50"/>
      <c r="Z73" s="64"/>
    </row>
    <row r="74" spans="1:1">
      <c r="A74" s="48"/>
    </row>
    <row r="75" spans="1:29">
      <c r="A75" s="70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</row>
    <row r="76" spans="1:26">
      <c r="A76" s="20" t="s">
        <v>3</v>
      </c>
      <c r="B76" s="53" t="s">
        <v>38</v>
      </c>
      <c r="C76" s="53" t="s">
        <v>39</v>
      </c>
      <c r="D76" s="53" t="s">
        <v>40</v>
      </c>
      <c r="E76" s="53" t="s">
        <v>41</v>
      </c>
      <c r="F76" s="53" t="s">
        <v>42</v>
      </c>
      <c r="G76" s="53" t="s">
        <v>43</v>
      </c>
      <c r="H76" s="53" t="s">
        <v>44</v>
      </c>
      <c r="I76" s="53" t="s">
        <v>45</v>
      </c>
      <c r="J76" s="53" t="s">
        <v>46</v>
      </c>
      <c r="K76" s="53" t="s">
        <v>47</v>
      </c>
      <c r="L76" s="53" t="s">
        <v>48</v>
      </c>
      <c r="M76" s="53" t="s">
        <v>49</v>
      </c>
      <c r="O76" s="31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7"/>
    </row>
    <row r="77" spans="1:26">
      <c r="A77" s="22" t="s">
        <v>5</v>
      </c>
      <c r="B77" s="23">
        <v>98</v>
      </c>
      <c r="C77" s="23">
        <v>77</v>
      </c>
      <c r="D77" s="23">
        <v>49</v>
      </c>
      <c r="E77" s="23">
        <v>83</v>
      </c>
      <c r="F77" s="23">
        <v>54</v>
      </c>
      <c r="G77" s="23">
        <v>70</v>
      </c>
      <c r="H77" s="23">
        <v>4</v>
      </c>
      <c r="I77" s="23">
        <v>83</v>
      </c>
      <c r="J77" s="23">
        <v>2</v>
      </c>
      <c r="K77" s="23">
        <v>33</v>
      </c>
      <c r="L77" s="23">
        <v>29</v>
      </c>
      <c r="M77" s="23">
        <v>36</v>
      </c>
      <c r="O77" s="33"/>
      <c r="Z77" s="40"/>
    </row>
    <row r="78" spans="1:26">
      <c r="A78" s="22" t="s">
        <v>6</v>
      </c>
      <c r="B78" s="23">
        <v>18</v>
      </c>
      <c r="C78" s="23">
        <v>84</v>
      </c>
      <c r="D78" s="23">
        <v>92</v>
      </c>
      <c r="E78" s="23">
        <v>88</v>
      </c>
      <c r="F78" s="23">
        <v>59</v>
      </c>
      <c r="G78" s="23">
        <v>97</v>
      </c>
      <c r="H78" s="23">
        <v>57</v>
      </c>
      <c r="I78" s="23">
        <v>61</v>
      </c>
      <c r="J78" s="23">
        <v>52</v>
      </c>
      <c r="K78" s="23">
        <v>93</v>
      </c>
      <c r="L78" s="23">
        <v>40</v>
      </c>
      <c r="M78" s="23">
        <v>96</v>
      </c>
      <c r="O78" s="33"/>
      <c r="Z78" s="40"/>
    </row>
    <row r="79" spans="1:26">
      <c r="A79" s="22" t="s">
        <v>7</v>
      </c>
      <c r="B79" s="23">
        <v>55</v>
      </c>
      <c r="C79" s="23">
        <v>42</v>
      </c>
      <c r="D79" s="23">
        <v>66</v>
      </c>
      <c r="E79" s="23">
        <v>1</v>
      </c>
      <c r="F79" s="23">
        <v>60</v>
      </c>
      <c r="G79" s="23">
        <v>47</v>
      </c>
      <c r="H79" s="23">
        <v>54</v>
      </c>
      <c r="I79" s="23">
        <v>57</v>
      </c>
      <c r="J79" s="23">
        <v>87</v>
      </c>
      <c r="K79" s="23">
        <v>94</v>
      </c>
      <c r="L79" s="23">
        <v>22</v>
      </c>
      <c r="M79" s="23">
        <v>29</v>
      </c>
      <c r="O79" s="33"/>
      <c r="Z79" s="40"/>
    </row>
    <row r="80" spans="1:26">
      <c r="A80" s="22" t="s">
        <v>2</v>
      </c>
      <c r="B80" s="23">
        <v>91</v>
      </c>
      <c r="C80" s="23">
        <v>71</v>
      </c>
      <c r="D80" s="23">
        <v>98</v>
      </c>
      <c r="E80" s="23">
        <v>53</v>
      </c>
      <c r="F80" s="23">
        <v>86</v>
      </c>
      <c r="G80" s="23">
        <v>31</v>
      </c>
      <c r="H80" s="23">
        <v>78</v>
      </c>
      <c r="I80" s="23">
        <v>96</v>
      </c>
      <c r="J80" s="23">
        <v>5</v>
      </c>
      <c r="K80" s="23">
        <v>65</v>
      </c>
      <c r="L80" s="23">
        <v>3</v>
      </c>
      <c r="M80" s="23">
        <v>8</v>
      </c>
      <c r="O80" s="33"/>
      <c r="Z80" s="40"/>
    </row>
    <row r="81" spans="1:26">
      <c r="A81" s="22" t="s">
        <v>8</v>
      </c>
      <c r="B81" s="23">
        <v>53</v>
      </c>
      <c r="C81" s="23">
        <v>50</v>
      </c>
      <c r="D81" s="23">
        <v>59</v>
      </c>
      <c r="E81" s="23">
        <v>73</v>
      </c>
      <c r="F81" s="23">
        <v>73</v>
      </c>
      <c r="G81" s="23">
        <v>25</v>
      </c>
      <c r="H81" s="23">
        <v>52</v>
      </c>
      <c r="I81" s="23">
        <v>75</v>
      </c>
      <c r="J81" s="23">
        <v>79</v>
      </c>
      <c r="K81" s="23">
        <v>71</v>
      </c>
      <c r="L81" s="23">
        <v>10</v>
      </c>
      <c r="M81" s="23">
        <v>75</v>
      </c>
      <c r="O81" s="33"/>
      <c r="Z81" s="40"/>
    </row>
    <row r="82" spans="1:26">
      <c r="A82" s="22" t="s">
        <v>9</v>
      </c>
      <c r="B82" s="23">
        <v>92</v>
      </c>
      <c r="C82" s="23">
        <v>46</v>
      </c>
      <c r="D82" s="23">
        <v>95</v>
      </c>
      <c r="E82" s="23">
        <v>63</v>
      </c>
      <c r="F82" s="23">
        <v>88</v>
      </c>
      <c r="G82" s="23">
        <v>28</v>
      </c>
      <c r="H82" s="23">
        <v>2</v>
      </c>
      <c r="I82" s="23">
        <v>44</v>
      </c>
      <c r="J82" s="23">
        <v>53</v>
      </c>
      <c r="K82" s="23">
        <v>48</v>
      </c>
      <c r="L82" s="23">
        <v>44</v>
      </c>
      <c r="M82" s="23">
        <v>8</v>
      </c>
      <c r="O82" s="33"/>
      <c r="Z82" s="40"/>
    </row>
    <row r="83" spans="1:26">
      <c r="A83" s="22" t="s">
        <v>10</v>
      </c>
      <c r="B83" s="23">
        <v>70</v>
      </c>
      <c r="C83" s="23">
        <v>13</v>
      </c>
      <c r="D83" s="23">
        <v>92</v>
      </c>
      <c r="E83" s="23">
        <v>21</v>
      </c>
      <c r="F83" s="23">
        <v>78</v>
      </c>
      <c r="G83" s="23">
        <v>64</v>
      </c>
      <c r="H83" s="23">
        <v>45</v>
      </c>
      <c r="I83" s="23">
        <v>100</v>
      </c>
      <c r="J83" s="23">
        <v>12</v>
      </c>
      <c r="K83" s="23">
        <v>13</v>
      </c>
      <c r="L83" s="23">
        <v>6</v>
      </c>
      <c r="M83" s="23">
        <v>90</v>
      </c>
      <c r="O83" s="33"/>
      <c r="Z83" s="40"/>
    </row>
    <row r="84" spans="1:26">
      <c r="A84" s="22" t="s">
        <v>11</v>
      </c>
      <c r="B84" s="23">
        <v>56</v>
      </c>
      <c r="C84" s="23">
        <v>29</v>
      </c>
      <c r="D84" s="23">
        <v>90</v>
      </c>
      <c r="E84" s="23">
        <v>44</v>
      </c>
      <c r="F84" s="23">
        <v>8</v>
      </c>
      <c r="G84" s="54">
        <v>16</v>
      </c>
      <c r="H84" s="23">
        <v>10</v>
      </c>
      <c r="I84" s="23">
        <v>68</v>
      </c>
      <c r="J84" s="23">
        <v>16</v>
      </c>
      <c r="K84" s="23">
        <v>54</v>
      </c>
      <c r="L84" s="23">
        <v>22</v>
      </c>
      <c r="M84" s="23">
        <v>32</v>
      </c>
      <c r="O84" s="33"/>
      <c r="Z84" s="40"/>
    </row>
    <row r="85" spans="1:26">
      <c r="A85" s="22" t="s">
        <v>12</v>
      </c>
      <c r="B85" s="23">
        <v>91</v>
      </c>
      <c r="C85" s="23">
        <v>42</v>
      </c>
      <c r="D85" s="23">
        <v>49</v>
      </c>
      <c r="E85" s="23">
        <v>67</v>
      </c>
      <c r="F85" s="23">
        <v>15</v>
      </c>
      <c r="G85" s="23">
        <v>55</v>
      </c>
      <c r="H85" s="23">
        <v>35</v>
      </c>
      <c r="I85" s="23">
        <v>75</v>
      </c>
      <c r="J85" s="23">
        <v>89</v>
      </c>
      <c r="K85" s="23">
        <v>85</v>
      </c>
      <c r="L85" s="23">
        <v>21</v>
      </c>
      <c r="M85" s="23">
        <v>100</v>
      </c>
      <c r="O85" s="33"/>
      <c r="Z85" s="40"/>
    </row>
    <row r="86" spans="1:26">
      <c r="A86" s="22" t="s">
        <v>13</v>
      </c>
      <c r="B86" s="23">
        <v>62</v>
      </c>
      <c r="C86" s="23">
        <v>40</v>
      </c>
      <c r="D86" s="23">
        <v>60</v>
      </c>
      <c r="E86" s="23">
        <v>84</v>
      </c>
      <c r="F86" s="23">
        <v>28</v>
      </c>
      <c r="G86" s="23">
        <v>90</v>
      </c>
      <c r="H86" s="23">
        <v>62</v>
      </c>
      <c r="I86" s="23">
        <v>79</v>
      </c>
      <c r="J86" s="23">
        <v>34</v>
      </c>
      <c r="K86" s="23">
        <v>57</v>
      </c>
      <c r="L86" s="23">
        <v>53</v>
      </c>
      <c r="M86" s="23">
        <v>11</v>
      </c>
      <c r="O86" s="33"/>
      <c r="Z86" s="40"/>
    </row>
    <row r="87" spans="1:26">
      <c r="A87" s="22" t="s">
        <v>14</v>
      </c>
      <c r="B87" s="23">
        <v>75</v>
      </c>
      <c r="C87" s="23">
        <v>10</v>
      </c>
      <c r="D87" s="23">
        <v>82</v>
      </c>
      <c r="E87" s="23">
        <v>54</v>
      </c>
      <c r="F87" s="23">
        <v>33</v>
      </c>
      <c r="G87" s="23">
        <v>52</v>
      </c>
      <c r="H87" s="23">
        <v>31</v>
      </c>
      <c r="I87" s="23">
        <v>57</v>
      </c>
      <c r="J87" s="23">
        <v>78</v>
      </c>
      <c r="K87" s="23">
        <v>82</v>
      </c>
      <c r="L87" s="23">
        <v>74</v>
      </c>
      <c r="M87" s="23">
        <v>23</v>
      </c>
      <c r="O87" s="33"/>
      <c r="Z87" s="40"/>
    </row>
    <row r="88" spans="1:26">
      <c r="A88" s="22" t="s">
        <v>15</v>
      </c>
      <c r="B88" s="23">
        <v>8</v>
      </c>
      <c r="C88" s="23">
        <v>98</v>
      </c>
      <c r="D88" s="23">
        <v>62</v>
      </c>
      <c r="E88" s="23">
        <v>63</v>
      </c>
      <c r="F88" s="23">
        <v>97</v>
      </c>
      <c r="G88" s="23">
        <v>67</v>
      </c>
      <c r="H88" s="23">
        <v>19</v>
      </c>
      <c r="I88" s="23">
        <v>74</v>
      </c>
      <c r="J88" s="23">
        <v>14</v>
      </c>
      <c r="K88" s="23">
        <v>47</v>
      </c>
      <c r="L88" s="23">
        <v>65</v>
      </c>
      <c r="M88" s="23">
        <v>57</v>
      </c>
      <c r="O88" s="33"/>
      <c r="Z88" s="40"/>
    </row>
    <row r="89" spans="1:26">
      <c r="A89" s="22" t="s">
        <v>16</v>
      </c>
      <c r="B89" s="23">
        <v>30</v>
      </c>
      <c r="C89" s="23">
        <v>70</v>
      </c>
      <c r="D89" s="23">
        <v>37</v>
      </c>
      <c r="E89" s="23">
        <v>88</v>
      </c>
      <c r="F89" s="23">
        <v>73</v>
      </c>
      <c r="G89" s="23">
        <v>100</v>
      </c>
      <c r="H89" s="23">
        <v>92</v>
      </c>
      <c r="I89" s="23">
        <v>67</v>
      </c>
      <c r="J89" s="23">
        <v>3</v>
      </c>
      <c r="K89" s="23">
        <v>43</v>
      </c>
      <c r="L89" s="23">
        <v>4</v>
      </c>
      <c r="M89" s="23">
        <v>89</v>
      </c>
      <c r="O89" s="33"/>
      <c r="Z89" s="40"/>
    </row>
    <row r="90" spans="1:26">
      <c r="A90" s="22" t="s">
        <v>17</v>
      </c>
      <c r="B90" s="23">
        <v>29</v>
      </c>
      <c r="C90" s="23">
        <v>65</v>
      </c>
      <c r="D90" s="23">
        <v>92</v>
      </c>
      <c r="E90" s="23">
        <v>83</v>
      </c>
      <c r="F90" s="23">
        <v>20</v>
      </c>
      <c r="G90" s="23">
        <v>25</v>
      </c>
      <c r="H90" s="23">
        <v>76</v>
      </c>
      <c r="I90" s="23">
        <v>24</v>
      </c>
      <c r="J90" s="23">
        <v>42</v>
      </c>
      <c r="K90" s="54">
        <v>91</v>
      </c>
      <c r="L90" s="23">
        <v>91</v>
      </c>
      <c r="M90" s="23">
        <v>50</v>
      </c>
      <c r="O90" s="33"/>
      <c r="Z90" s="40"/>
    </row>
    <row r="91" spans="1:26">
      <c r="A91" s="22" t="s">
        <v>18</v>
      </c>
      <c r="B91" s="23">
        <v>14</v>
      </c>
      <c r="C91" s="23">
        <v>6</v>
      </c>
      <c r="D91" s="23">
        <v>43</v>
      </c>
      <c r="E91" s="23">
        <v>62</v>
      </c>
      <c r="F91" s="23">
        <v>32</v>
      </c>
      <c r="G91" s="23">
        <v>65</v>
      </c>
      <c r="H91" s="23">
        <v>69</v>
      </c>
      <c r="I91" s="23">
        <v>60</v>
      </c>
      <c r="J91" s="23">
        <v>73</v>
      </c>
      <c r="K91" s="23">
        <v>94</v>
      </c>
      <c r="L91" s="23">
        <v>80</v>
      </c>
      <c r="M91" s="23">
        <v>24</v>
      </c>
      <c r="O91" s="33"/>
      <c r="Z91" s="40"/>
    </row>
    <row r="92" spans="1:26">
      <c r="A92" s="22" t="s">
        <v>19</v>
      </c>
      <c r="B92" s="23">
        <v>368</v>
      </c>
      <c r="C92" s="23">
        <v>374</v>
      </c>
      <c r="D92" s="23">
        <v>192</v>
      </c>
      <c r="E92" s="23">
        <v>340</v>
      </c>
      <c r="F92" s="23">
        <v>195</v>
      </c>
      <c r="G92" s="23">
        <v>200</v>
      </c>
      <c r="H92" s="23">
        <v>208</v>
      </c>
      <c r="I92" s="23">
        <v>166</v>
      </c>
      <c r="J92" s="23">
        <v>365</v>
      </c>
      <c r="K92" s="23">
        <v>170</v>
      </c>
      <c r="L92" s="23">
        <v>451</v>
      </c>
      <c r="M92" s="23">
        <v>271</v>
      </c>
      <c r="O92" s="33"/>
      <c r="Z92" s="40"/>
    </row>
    <row r="93" spans="15:26">
      <c r="O93" s="33"/>
      <c r="Z93" s="40"/>
    </row>
    <row r="94" spans="1:26">
      <c r="A94" s="72" t="s">
        <v>50</v>
      </c>
      <c r="B94" s="73"/>
      <c r="C94" s="73"/>
      <c r="D94" s="73"/>
      <c r="O94" s="33"/>
      <c r="Z94" s="40"/>
    </row>
    <row r="95" spans="1:26">
      <c r="A95" s="74" t="s">
        <v>14</v>
      </c>
      <c r="B95" s="74" t="s">
        <v>51</v>
      </c>
      <c r="C95" s="74" t="s">
        <v>23</v>
      </c>
      <c r="D95" s="74" t="s">
        <v>22</v>
      </c>
      <c r="O95" s="33"/>
      <c r="Z95" s="40"/>
    </row>
    <row r="96" spans="1:26">
      <c r="A96" s="23" t="str">
        <f ca="1">IF(OFFSET($B$76,,ROW(1:1)-1)="","",OFFSET($B$76,,ROW(1:1)-1))</f>
        <v>一月</v>
      </c>
      <c r="B96" s="23">
        <f ca="1">INDEX(B77:M92,MATCH(A95,A77:A92,0),MATCH(A96,B76:M76,0))</f>
        <v>75</v>
      </c>
      <c r="C96" s="23" t="e">
        <f ca="1">IF(MAX(B96:B107)=B96,B96,NA())</f>
        <v>#N/A</v>
      </c>
      <c r="D96" s="23" t="e">
        <f ca="1">IF(MIN(B96:B107)=B96,B96,NA())</f>
        <v>#N/A</v>
      </c>
      <c r="O96" s="33"/>
      <c r="Z96" s="40"/>
    </row>
    <row r="97" spans="1:26">
      <c r="A97" s="23" t="str">
        <f ca="1" t="shared" ref="A97:A107" si="22">IF(OFFSET($B$76,,ROW(2:2)-1)="","",OFFSET($B$76,,ROW(2:2)-1))</f>
        <v>二月</v>
      </c>
      <c r="B97" s="23">
        <f ca="1">INDEX(B77:M92,MATCH(A95,A77:A92,0),MATCH(A97,B76:M76,0))</f>
        <v>10</v>
      </c>
      <c r="C97" s="23" t="e">
        <f ca="1">IF(MAX(B96:B107)=B97,B97,NA())</f>
        <v>#N/A</v>
      </c>
      <c r="D97" s="23">
        <f ca="1">IF(MIN(B96:B107)=B97,B97,NA())</f>
        <v>10</v>
      </c>
      <c r="O97" s="33"/>
      <c r="Z97" s="40"/>
    </row>
    <row r="98" spans="1:26">
      <c r="A98" s="23" t="str">
        <f ca="1" t="shared" si="22"/>
        <v>三月</v>
      </c>
      <c r="B98" s="23">
        <f ca="1">INDEX(B77:M92,MATCH(A95,A77:A92,0),MATCH(A97,B76:M76,0))</f>
        <v>10</v>
      </c>
      <c r="C98" s="23" t="e">
        <f ca="1">IF(MAX(B96:B107)=B98,B98,NA())</f>
        <v>#N/A</v>
      </c>
      <c r="D98" s="23">
        <f ca="1">IF(MIN(B96:B107)=B98,B98,NA())</f>
        <v>10</v>
      </c>
      <c r="O98" s="33"/>
      <c r="Z98" s="40"/>
    </row>
    <row r="99" spans="1:26">
      <c r="A99" s="23" t="str">
        <f ca="1" t="shared" si="22"/>
        <v>四月</v>
      </c>
      <c r="B99" s="23">
        <f ca="1">INDEX(B77:M92,MATCH(A95,A77:A92,0),MATCH(A99,B76:M76,0))</f>
        <v>54</v>
      </c>
      <c r="C99" s="23" t="e">
        <f ca="1">IF(MAX(B96:B107)=B99,B99,NA())</f>
        <v>#N/A</v>
      </c>
      <c r="D99" s="23" t="e">
        <f ca="1">IF(MIN(B96:B107)=B99,B99,NA())</f>
        <v>#N/A</v>
      </c>
      <c r="O99" s="33"/>
      <c r="Z99" s="40"/>
    </row>
    <row r="100" spans="1:26">
      <c r="A100" s="23" t="str">
        <f ca="1" t="shared" si="22"/>
        <v>五月</v>
      </c>
      <c r="B100" s="23">
        <f ca="1">INDEX(B77:M92,MATCH(A95,A77:A92,0),MATCH(A100,B76:M76,0))</f>
        <v>33</v>
      </c>
      <c r="C100" s="23" t="e">
        <f ca="1">IF(MAX(B96:B107)=B100,B100,NA())</f>
        <v>#N/A</v>
      </c>
      <c r="D100" s="23" t="e">
        <f ca="1">IF(MIN(B96:B107)=B100,B100,NA())</f>
        <v>#N/A</v>
      </c>
      <c r="O100" s="33"/>
      <c r="Z100" s="40"/>
    </row>
    <row r="101" spans="1:26">
      <c r="A101" s="23" t="str">
        <f ca="1" t="shared" si="22"/>
        <v>六月</v>
      </c>
      <c r="B101" s="23">
        <f ca="1">INDEX(B77:M92,MATCH(A95,A77:A92,0),MATCH(A101,B76:M76,0))</f>
        <v>52</v>
      </c>
      <c r="C101" s="23" t="e">
        <f ca="1">IF(MAX(B96:B107)=B101,B101,NA())</f>
        <v>#N/A</v>
      </c>
      <c r="D101" s="23" t="e">
        <f ca="1">IF(MIN(B96:B107)=B101,B101,NA())</f>
        <v>#N/A</v>
      </c>
      <c r="O101" s="33"/>
      <c r="Z101" s="40"/>
    </row>
    <row r="102" spans="1:26">
      <c r="A102" s="23" t="str">
        <f ca="1" t="shared" si="22"/>
        <v>七月</v>
      </c>
      <c r="B102" s="23">
        <f ca="1">INDEX(B77:M92,MATCH(A95,A77:A92,0),MATCH(A102,B76:M76,0))</f>
        <v>31</v>
      </c>
      <c r="C102" s="23" t="e">
        <f ca="1">IF(MAX(B96:B107)=B102,B102,NA())</f>
        <v>#N/A</v>
      </c>
      <c r="D102" s="23" t="e">
        <f ca="1">IF(MIN(B96:B107)=B102,B102,NA())</f>
        <v>#N/A</v>
      </c>
      <c r="O102" s="33"/>
      <c r="Z102" s="40"/>
    </row>
    <row r="103" spans="1:26">
      <c r="A103" s="23" t="str">
        <f ca="1" t="shared" si="22"/>
        <v>八月</v>
      </c>
      <c r="B103" s="23">
        <f ca="1">INDEX(B77:M92,MATCH(A95,A77:A92,0),MATCH(A103,B76:M76,0))</f>
        <v>57</v>
      </c>
      <c r="C103" s="23" t="e">
        <f ca="1">IF(MAX(B96:B107)=B103,B103,NA())</f>
        <v>#N/A</v>
      </c>
      <c r="D103" s="23" t="e">
        <f ca="1">IF(MIN(B96:B107)=B103,B103,NA())</f>
        <v>#N/A</v>
      </c>
      <c r="O103" s="33"/>
      <c r="Z103" s="40"/>
    </row>
    <row r="104" spans="1:26">
      <c r="A104" s="23" t="str">
        <f ca="1" t="shared" si="22"/>
        <v>九月</v>
      </c>
      <c r="B104" s="23">
        <f ca="1">INDEX(B77:M92,MATCH(A95,A77:A92,0),MATCH(A104,B76:M76,0))</f>
        <v>78</v>
      </c>
      <c r="C104" s="23" t="e">
        <f ca="1">IF(MAX(B96:B107)=B104,B104,NA())</f>
        <v>#N/A</v>
      </c>
      <c r="D104" s="23" t="e">
        <f ca="1">IF(MIN(B96:B107)=B104,B104,NA())</f>
        <v>#N/A</v>
      </c>
      <c r="O104" s="49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64"/>
    </row>
    <row r="105" spans="1:4">
      <c r="A105" s="23" t="str">
        <f ca="1" t="shared" si="22"/>
        <v>十月</v>
      </c>
      <c r="B105" s="23">
        <f ca="1">INDEX(B77:M92,MATCH(A95,A77:A92,0),MATCH(A105,B76:M76,0))</f>
        <v>82</v>
      </c>
      <c r="C105" s="23">
        <f ca="1">IF(MAX(B96:B107)=B105,B105,NA())</f>
        <v>82</v>
      </c>
      <c r="D105" s="23" t="e">
        <f ca="1">IF(MIN(B96:B107)=B105,B105,NA())</f>
        <v>#N/A</v>
      </c>
    </row>
    <row r="106" spans="1:4">
      <c r="A106" s="23" t="str">
        <f ca="1" t="shared" si="22"/>
        <v>十一月</v>
      </c>
      <c r="B106" s="23">
        <f ca="1">INDEX(B77:M92,MATCH(A95,A77:A92,0),MATCH(A106,B76:M76,0))</f>
        <v>74</v>
      </c>
      <c r="C106" s="23" t="e">
        <f ca="1">IF(MAX(B96:B107)=B106,B106,NA())</f>
        <v>#N/A</v>
      </c>
      <c r="D106" s="23" t="e">
        <f ca="1">IF(MIN(B96:B107)=B106,B106,NA())</f>
        <v>#N/A</v>
      </c>
    </row>
    <row r="107" spans="1:4">
      <c r="A107" s="23" t="str">
        <f ca="1" t="shared" si="22"/>
        <v>十二月</v>
      </c>
      <c r="B107" s="23">
        <f ca="1">INDEX(B77:M92,MATCH(A95,A77:A92,0),MATCH(A107,B76:M76,0))</f>
        <v>23</v>
      </c>
      <c r="C107" s="23" t="e">
        <f ca="1">IF(MAX(B96:B107)=B107,B107,NA())</f>
        <v>#N/A</v>
      </c>
      <c r="D107" s="23" t="e">
        <f ca="1">IF(MIN(B96:B107)=B107,B107,NA())</f>
        <v>#N/A</v>
      </c>
    </row>
    <row r="108" spans="4:4">
      <c r="D108" s="4" t="str">
        <f ca="1">IF(OFFSET($B$76,,ROW(14:14)-1)="","",OFFSET($B$76,,ROW(14:14)-1))</f>
        <v/>
      </c>
    </row>
    <row r="116" spans="10:10">
      <c r="J116" s="48"/>
    </row>
  </sheetData>
  <mergeCells count="4">
    <mergeCell ref="C11:E11"/>
    <mergeCell ref="G11:I11"/>
    <mergeCell ref="D33:E33"/>
    <mergeCell ref="D34:E34"/>
  </mergeCells>
  <conditionalFormatting sqref="B15:AF30">
    <cfRule type="expression" dxfId="0" priority="3">
      <formula>AND(($A15=$C$11),(B$14=$G$11))</formula>
    </cfRule>
    <cfRule type="expression" dxfId="1" priority="4">
      <formula>OR(($A15=$C$11),(B$14=$G$11))</formula>
    </cfRule>
  </conditionalFormatting>
  <dataValidations count="2">
    <dataValidation type="list" allowBlank="1" showInputMessage="1" showErrorMessage="1" sqref="C11">
      <formula1>$A$15:$A$30</formula1>
    </dataValidation>
    <dataValidation type="list" allowBlank="1" showInputMessage="1" showErrorMessage="1" sqref="G11">
      <formula1>$B$14:$AF$14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6" r:id="rId3" name="ComboBox1">
          <controlPr defaultSize="0" r:id="rId4" linkedCell="A95" listFillRange="A77:A92">
            <anchor moveWithCells="1">
              <from>
                <xdr:col>24</xdr:col>
                <xdr:colOff>45085</xdr:colOff>
                <xdr:row>75</xdr:row>
                <xdr:rowOff>128905</xdr:rowOff>
              </from>
              <to>
                <xdr:col>25</xdr:col>
                <xdr:colOff>440690</xdr:colOff>
                <xdr:row>77</xdr:row>
                <xdr:rowOff>96520</xdr:rowOff>
              </to>
            </anchor>
          </controlPr>
        </control>
      </mc:Choice>
      <mc:Fallback>
        <control shapeId="1026" r:id="rId3" name="ComboBox1"/>
      </mc:Fallback>
    </mc:AlternateContent>
    <mc:AlternateContent xmlns:mc="http://schemas.openxmlformats.org/markup-compatibility/2006">
      <mc:Choice Requires="x14">
        <control shapeId="1025" r:id="rId5" name="ToggleButton1">
          <controlPr defaultSize="0" r:id="rId6">
            <anchor moveWithCells="1">
              <from>
                <xdr:col>0</xdr:col>
                <xdr:colOff>85725</xdr:colOff>
                <xdr:row>7</xdr:row>
                <xdr:rowOff>36195</xdr:rowOff>
              </from>
              <to>
                <xdr:col>2</xdr:col>
                <xdr:colOff>153035</xdr:colOff>
                <xdr:row>8</xdr:row>
                <xdr:rowOff>160655</xdr:rowOff>
              </to>
            </anchor>
          </controlPr>
        </control>
      </mc:Choice>
      <mc:Fallback>
        <control shapeId="1025" r:id="rId5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120"/>
  <sheetViews>
    <sheetView tabSelected="1" zoomScale="85" zoomScaleNormal="85" workbookViewId="0">
      <selection activeCell="A1" sqref="A1"/>
    </sheetView>
  </sheetViews>
  <sheetFormatPr defaultColWidth="9" defaultRowHeight="13.5"/>
  <cols>
    <col min="1" max="1" width="12.875" style="4" customWidth="1"/>
    <col min="2" max="17" width="7.125" style="4" customWidth="1"/>
    <col min="18" max="30" width="8.125" style="4" customWidth="1"/>
    <col min="31" max="31" width="9" style="4"/>
    <col min="32" max="32" width="8.125" style="4" customWidth="1"/>
    <col min="33" max="16384" width="9" style="4"/>
  </cols>
  <sheetData>
    <row r="1" s="1" customFormat="1" spans="1:2">
      <c r="A1" s="4"/>
      <c r="B1" s="4"/>
    </row>
    <row r="2" s="9" customFormat="1" spans="1:2">
      <c r="A2" s="14"/>
      <c r="B2" s="14"/>
    </row>
    <row r="3" s="9" customFormat="1" spans="1:2">
      <c r="A3" s="14"/>
      <c r="B3" s="14"/>
    </row>
    <row r="4" s="9" customFormat="1" spans="1:2">
      <c r="A4" s="14"/>
      <c r="B4" s="14"/>
    </row>
    <row r="5" s="9" customFormat="1" spans="1:2">
      <c r="A5" s="14"/>
      <c r="B5" s="14"/>
    </row>
    <row r="6" s="9" customFormat="1" spans="1:2">
      <c r="A6" s="14"/>
      <c r="B6" s="14"/>
    </row>
    <row r="7" s="10" customFormat="1" ht="14.25"/>
    <row r="8" s="11" customFormat="1" ht="14.25"/>
    <row r="9" s="3" customFormat="1" ht="14.25"/>
    <row r="10" ht="20" customHeight="1" spans="13:18">
      <c r="M10" s="34">
        <v>1</v>
      </c>
      <c r="N10" s="34">
        <f ca="1">VLOOKUP(C11,A15:B30,2,0)</f>
        <v>3</v>
      </c>
      <c r="O10" s="34" t="s">
        <v>52</v>
      </c>
      <c r="P10" s="34" t="s">
        <v>53</v>
      </c>
      <c r="R10" s="34"/>
    </row>
    <row r="11" s="12" customFormat="1" ht="20" customHeight="1" spans="1:21">
      <c r="A11" s="12" t="s">
        <v>0</v>
      </c>
      <c r="B11" s="15" t="s">
        <v>1</v>
      </c>
      <c r="C11" s="16" t="s">
        <v>11</v>
      </c>
      <c r="D11" s="16"/>
      <c r="E11" s="16"/>
      <c r="F11" s="15" t="s">
        <v>3</v>
      </c>
      <c r="G11" s="17">
        <v>43838</v>
      </c>
      <c r="H11" s="17"/>
      <c r="I11" s="17"/>
      <c r="J11" s="15" t="s">
        <v>4</v>
      </c>
      <c r="K11" s="35">
        <f ca="1">VLOOKUP(C11,A15:AF30,MATCH(G11,B14:AF14,0)+1,0)</f>
        <v>6</v>
      </c>
      <c r="M11" s="34">
        <v>2</v>
      </c>
      <c r="N11" s="34">
        <f>MATCH(G11,A14:AF14,0)</f>
        <v>9</v>
      </c>
      <c r="O11" s="34" t="s">
        <v>54</v>
      </c>
      <c r="P11" s="34" t="s">
        <v>55</v>
      </c>
      <c r="R11" s="34"/>
      <c r="U11" s="36" t="s">
        <v>56</v>
      </c>
    </row>
    <row r="12" s="12" customFormat="1" ht="20" customHeight="1" spans="3:9">
      <c r="C12" s="18"/>
      <c r="D12" s="18"/>
      <c r="E12" s="18"/>
      <c r="G12" s="18"/>
      <c r="H12" s="18"/>
      <c r="I12" s="18"/>
    </row>
    <row r="13" spans="1:32">
      <c r="A13" s="19">
        <v>1</v>
      </c>
      <c r="B13" s="19">
        <v>2</v>
      </c>
      <c r="C13" s="19">
        <v>3</v>
      </c>
      <c r="D13" s="19">
        <v>4</v>
      </c>
      <c r="E13" s="19">
        <v>5</v>
      </c>
      <c r="F13" s="19">
        <v>6</v>
      </c>
      <c r="G13" s="19">
        <v>7</v>
      </c>
      <c r="H13" s="19">
        <v>8</v>
      </c>
      <c r="I13" s="19">
        <v>9</v>
      </c>
      <c r="J13" s="19">
        <v>10</v>
      </c>
      <c r="K13" s="19">
        <v>11</v>
      </c>
      <c r="L13" s="19">
        <v>12</v>
      </c>
      <c r="M13" s="19">
        <v>13</v>
      </c>
      <c r="N13" s="19">
        <v>14</v>
      </c>
      <c r="O13" s="19">
        <v>15</v>
      </c>
      <c r="P13" s="19">
        <v>16</v>
      </c>
      <c r="Q13" s="19">
        <v>17</v>
      </c>
      <c r="R13" s="19">
        <v>18</v>
      </c>
      <c r="S13" s="19">
        <v>19</v>
      </c>
      <c r="T13" s="19">
        <v>20</v>
      </c>
      <c r="U13" s="19">
        <v>21</v>
      </c>
      <c r="V13" s="19">
        <v>22</v>
      </c>
      <c r="W13" s="19">
        <v>23</v>
      </c>
      <c r="X13" s="19">
        <v>24</v>
      </c>
      <c r="Y13" s="19">
        <v>25</v>
      </c>
      <c r="Z13" s="19">
        <v>26</v>
      </c>
      <c r="AA13" s="19">
        <v>27</v>
      </c>
      <c r="AB13" s="19">
        <v>28</v>
      </c>
      <c r="AC13" s="19">
        <v>29</v>
      </c>
      <c r="AD13" s="19">
        <v>30</v>
      </c>
      <c r="AE13" s="19">
        <v>31</v>
      </c>
      <c r="AF13" s="19">
        <v>32</v>
      </c>
    </row>
    <row r="14" spans="1:32">
      <c r="A14" s="20" t="s">
        <v>3</v>
      </c>
      <c r="B14" s="21">
        <v>43831</v>
      </c>
      <c r="C14" s="21">
        <v>43832</v>
      </c>
      <c r="D14" s="21">
        <v>43833</v>
      </c>
      <c r="E14" s="21">
        <v>43834</v>
      </c>
      <c r="F14" s="21">
        <v>43835</v>
      </c>
      <c r="G14" s="21">
        <v>43836</v>
      </c>
      <c r="H14" s="21">
        <v>43837</v>
      </c>
      <c r="I14" s="21">
        <v>43838</v>
      </c>
      <c r="J14" s="21">
        <v>43839</v>
      </c>
      <c r="K14" s="21">
        <v>43840</v>
      </c>
      <c r="L14" s="21">
        <v>43841</v>
      </c>
      <c r="M14" s="21">
        <v>43842</v>
      </c>
      <c r="N14" s="21">
        <v>43843</v>
      </c>
      <c r="O14" s="21">
        <v>43844</v>
      </c>
      <c r="P14" s="21">
        <v>43845</v>
      </c>
      <c r="Q14" s="21">
        <v>43846</v>
      </c>
      <c r="R14" s="21">
        <v>43847</v>
      </c>
      <c r="S14" s="21">
        <v>43848</v>
      </c>
      <c r="T14" s="21">
        <v>43849</v>
      </c>
      <c r="U14" s="21">
        <v>43850</v>
      </c>
      <c r="V14" s="21">
        <v>43851</v>
      </c>
      <c r="W14" s="21">
        <v>43852</v>
      </c>
      <c r="X14" s="21">
        <v>43853</v>
      </c>
      <c r="Y14" s="21">
        <v>43854</v>
      </c>
      <c r="Z14" s="21">
        <v>43855</v>
      </c>
      <c r="AA14" s="21">
        <v>43856</v>
      </c>
      <c r="AB14" s="21">
        <v>43857</v>
      </c>
      <c r="AC14" s="21">
        <v>43858</v>
      </c>
      <c r="AD14" s="21">
        <v>43859</v>
      </c>
      <c r="AE14" s="21">
        <v>43860</v>
      </c>
      <c r="AF14" s="21">
        <v>43861</v>
      </c>
    </row>
    <row r="15" ht="15" customHeight="1" spans="1:32">
      <c r="A15" s="22" t="s">
        <v>5</v>
      </c>
      <c r="B15" s="23">
        <f ca="1" t="shared" ref="B15:AF15" si="0">RANDBETWEEN(1,100)</f>
        <v>25</v>
      </c>
      <c r="C15" s="23">
        <f ca="1" t="shared" si="0"/>
        <v>59</v>
      </c>
      <c r="D15" s="23">
        <f ca="1" t="shared" si="0"/>
        <v>66</v>
      </c>
      <c r="E15" s="23">
        <f ca="1" t="shared" si="0"/>
        <v>54</v>
      </c>
      <c r="F15" s="23">
        <f ca="1" t="shared" si="0"/>
        <v>44</v>
      </c>
      <c r="G15" s="23">
        <f ca="1" t="shared" si="0"/>
        <v>68</v>
      </c>
      <c r="H15" s="23">
        <f ca="1" t="shared" si="0"/>
        <v>28</v>
      </c>
      <c r="I15" s="23">
        <f ca="1" t="shared" si="0"/>
        <v>21</v>
      </c>
      <c r="J15" s="23">
        <f ca="1" t="shared" si="0"/>
        <v>71</v>
      </c>
      <c r="K15" s="23">
        <f ca="1" t="shared" si="0"/>
        <v>39</v>
      </c>
      <c r="L15" s="23">
        <f ca="1" t="shared" si="0"/>
        <v>37</v>
      </c>
      <c r="M15" s="23">
        <f ca="1" t="shared" si="0"/>
        <v>8</v>
      </c>
      <c r="N15" s="23">
        <f ca="1" t="shared" si="0"/>
        <v>28</v>
      </c>
      <c r="O15" s="23">
        <f ca="1" t="shared" si="0"/>
        <v>87</v>
      </c>
      <c r="P15" s="23">
        <f ca="1" t="shared" si="0"/>
        <v>48</v>
      </c>
      <c r="Q15" s="23">
        <f ca="1" t="shared" si="0"/>
        <v>39</v>
      </c>
      <c r="R15" s="23">
        <f ca="1" t="shared" si="0"/>
        <v>17</v>
      </c>
      <c r="S15" s="23">
        <f ca="1" t="shared" si="0"/>
        <v>53</v>
      </c>
      <c r="T15" s="23">
        <f ca="1" t="shared" si="0"/>
        <v>60</v>
      </c>
      <c r="U15" s="23">
        <f ca="1" t="shared" si="0"/>
        <v>86</v>
      </c>
      <c r="V15" s="23">
        <f ca="1" t="shared" si="0"/>
        <v>36</v>
      </c>
      <c r="W15" s="23">
        <f ca="1" t="shared" si="0"/>
        <v>48</v>
      </c>
      <c r="X15" s="23">
        <f ca="1" t="shared" si="0"/>
        <v>42</v>
      </c>
      <c r="Y15" s="23">
        <f ca="1" t="shared" si="0"/>
        <v>92</v>
      </c>
      <c r="Z15" s="23">
        <f ca="1" t="shared" si="0"/>
        <v>24</v>
      </c>
      <c r="AA15" s="23">
        <f ca="1" t="shared" si="0"/>
        <v>94</v>
      </c>
      <c r="AB15" s="23">
        <f ca="1" t="shared" si="0"/>
        <v>9</v>
      </c>
      <c r="AC15" s="23">
        <f ca="1" t="shared" si="0"/>
        <v>51</v>
      </c>
      <c r="AD15" s="23">
        <f ca="1" t="shared" si="0"/>
        <v>89</v>
      </c>
      <c r="AE15" s="23">
        <f ca="1" t="shared" si="0"/>
        <v>41</v>
      </c>
      <c r="AF15" s="23">
        <f ca="1" t="shared" si="0"/>
        <v>4</v>
      </c>
    </row>
    <row r="16" ht="15" customHeight="1" spans="1:32">
      <c r="A16" s="22" t="s">
        <v>6</v>
      </c>
      <c r="B16" s="23">
        <f ca="1" t="shared" ref="B16:AF16" si="1">RANDBETWEEN(1,100)</f>
        <v>16</v>
      </c>
      <c r="C16" s="23">
        <f ca="1" t="shared" si="1"/>
        <v>38</v>
      </c>
      <c r="D16" s="23">
        <f ca="1" t="shared" si="1"/>
        <v>82</v>
      </c>
      <c r="E16" s="23">
        <f ca="1" t="shared" si="1"/>
        <v>3</v>
      </c>
      <c r="F16" s="23">
        <f ca="1" t="shared" si="1"/>
        <v>35</v>
      </c>
      <c r="G16" s="23">
        <f ca="1" t="shared" si="1"/>
        <v>32</v>
      </c>
      <c r="H16" s="23">
        <f ca="1" t="shared" si="1"/>
        <v>61</v>
      </c>
      <c r="I16" s="23">
        <f ca="1" t="shared" si="1"/>
        <v>19</v>
      </c>
      <c r="J16" s="23">
        <f ca="1" t="shared" si="1"/>
        <v>80</v>
      </c>
      <c r="K16" s="23">
        <f ca="1" t="shared" si="1"/>
        <v>59</v>
      </c>
      <c r="L16" s="23">
        <f ca="1" t="shared" si="1"/>
        <v>57</v>
      </c>
      <c r="M16" s="23">
        <f ca="1" t="shared" si="1"/>
        <v>83</v>
      </c>
      <c r="N16" s="23">
        <f ca="1" t="shared" si="1"/>
        <v>32</v>
      </c>
      <c r="O16" s="23">
        <f ca="1" t="shared" si="1"/>
        <v>15</v>
      </c>
      <c r="P16" s="23">
        <f ca="1" t="shared" si="1"/>
        <v>59</v>
      </c>
      <c r="Q16" s="23">
        <f ca="1" t="shared" si="1"/>
        <v>59</v>
      </c>
      <c r="R16" s="23">
        <f ca="1" t="shared" si="1"/>
        <v>78</v>
      </c>
      <c r="S16" s="23">
        <f ca="1" t="shared" si="1"/>
        <v>77</v>
      </c>
      <c r="T16" s="23">
        <f ca="1" t="shared" si="1"/>
        <v>90</v>
      </c>
      <c r="U16" s="23">
        <f ca="1" t="shared" si="1"/>
        <v>51</v>
      </c>
      <c r="V16" s="23">
        <f ca="1" t="shared" si="1"/>
        <v>33</v>
      </c>
      <c r="W16" s="23">
        <f ca="1" t="shared" si="1"/>
        <v>71</v>
      </c>
      <c r="X16" s="23">
        <f ca="1" t="shared" si="1"/>
        <v>93</v>
      </c>
      <c r="Y16" s="23">
        <f ca="1" t="shared" si="1"/>
        <v>15</v>
      </c>
      <c r="Z16" s="23">
        <f ca="1" t="shared" si="1"/>
        <v>2</v>
      </c>
      <c r="AA16" s="23">
        <f ca="1" t="shared" si="1"/>
        <v>31</v>
      </c>
      <c r="AB16" s="23">
        <f ca="1" t="shared" si="1"/>
        <v>87</v>
      </c>
      <c r="AC16" s="23">
        <f ca="1" t="shared" si="1"/>
        <v>98</v>
      </c>
      <c r="AD16" s="23">
        <f ca="1" t="shared" si="1"/>
        <v>86</v>
      </c>
      <c r="AE16" s="23">
        <f ca="1" t="shared" si="1"/>
        <v>20</v>
      </c>
      <c r="AF16" s="23">
        <f ca="1" t="shared" si="1"/>
        <v>100</v>
      </c>
    </row>
    <row r="17" ht="15" customHeight="1" spans="1:32">
      <c r="A17" s="22" t="s">
        <v>7</v>
      </c>
      <c r="B17" s="23">
        <f ca="1" t="shared" ref="B17:AF17" si="2">RANDBETWEEN(1,100)</f>
        <v>42</v>
      </c>
      <c r="C17" s="23">
        <f ca="1" t="shared" si="2"/>
        <v>33</v>
      </c>
      <c r="D17" s="23">
        <f ca="1" t="shared" si="2"/>
        <v>75</v>
      </c>
      <c r="E17" s="23">
        <f ca="1" t="shared" si="2"/>
        <v>56</v>
      </c>
      <c r="F17" s="23">
        <f ca="1" t="shared" si="2"/>
        <v>72</v>
      </c>
      <c r="G17" s="23">
        <f ca="1" t="shared" si="2"/>
        <v>47</v>
      </c>
      <c r="H17" s="23">
        <f ca="1" t="shared" si="2"/>
        <v>43</v>
      </c>
      <c r="I17" s="23">
        <f ca="1" t="shared" si="2"/>
        <v>90</v>
      </c>
      <c r="J17" s="23">
        <f ca="1" t="shared" si="2"/>
        <v>81</v>
      </c>
      <c r="K17" s="23">
        <f ca="1" t="shared" si="2"/>
        <v>64</v>
      </c>
      <c r="L17" s="23">
        <f ca="1" t="shared" si="2"/>
        <v>31</v>
      </c>
      <c r="M17" s="23">
        <f ca="1" t="shared" si="2"/>
        <v>40</v>
      </c>
      <c r="N17" s="23">
        <f ca="1" t="shared" si="2"/>
        <v>53</v>
      </c>
      <c r="O17" s="23">
        <f ca="1" t="shared" si="2"/>
        <v>8</v>
      </c>
      <c r="P17" s="23">
        <f ca="1" t="shared" si="2"/>
        <v>95</v>
      </c>
      <c r="Q17" s="23">
        <f ca="1" t="shared" si="2"/>
        <v>36</v>
      </c>
      <c r="R17" s="23">
        <f ca="1" t="shared" si="2"/>
        <v>75</v>
      </c>
      <c r="S17" s="23">
        <f ca="1" t="shared" si="2"/>
        <v>55</v>
      </c>
      <c r="T17" s="23">
        <f ca="1" t="shared" si="2"/>
        <v>50</v>
      </c>
      <c r="U17" s="23">
        <f ca="1" t="shared" si="2"/>
        <v>21</v>
      </c>
      <c r="V17" s="23">
        <f ca="1" t="shared" si="2"/>
        <v>39</v>
      </c>
      <c r="W17" s="23">
        <f ca="1" t="shared" si="2"/>
        <v>50</v>
      </c>
      <c r="X17" s="23">
        <f ca="1" t="shared" si="2"/>
        <v>21</v>
      </c>
      <c r="Y17" s="23">
        <f ca="1" t="shared" si="2"/>
        <v>62</v>
      </c>
      <c r="Z17" s="23">
        <f ca="1" t="shared" si="2"/>
        <v>32</v>
      </c>
      <c r="AA17" s="23">
        <f ca="1" t="shared" si="2"/>
        <v>5</v>
      </c>
      <c r="AB17" s="23">
        <f ca="1" t="shared" si="2"/>
        <v>88</v>
      </c>
      <c r="AC17" s="23">
        <f ca="1" t="shared" si="2"/>
        <v>25</v>
      </c>
      <c r="AD17" s="23">
        <f ca="1" t="shared" si="2"/>
        <v>15</v>
      </c>
      <c r="AE17" s="23">
        <f ca="1" t="shared" si="2"/>
        <v>16</v>
      </c>
      <c r="AF17" s="23">
        <f ca="1" t="shared" si="2"/>
        <v>98</v>
      </c>
    </row>
    <row r="18" ht="15" customHeight="1" spans="1:32">
      <c r="A18" s="22" t="s">
        <v>2</v>
      </c>
      <c r="B18" s="23">
        <f ca="1" t="shared" ref="B18:AF18" si="3">RANDBETWEEN(1,100)</f>
        <v>44</v>
      </c>
      <c r="C18" s="23">
        <f ca="1" t="shared" si="3"/>
        <v>3</v>
      </c>
      <c r="D18" s="23">
        <f ca="1" t="shared" si="3"/>
        <v>79</v>
      </c>
      <c r="E18" s="23">
        <f ca="1" t="shared" si="3"/>
        <v>53</v>
      </c>
      <c r="F18" s="23">
        <f ca="1" t="shared" si="3"/>
        <v>12</v>
      </c>
      <c r="G18" s="23">
        <f ca="1" t="shared" si="3"/>
        <v>7</v>
      </c>
      <c r="H18" s="23">
        <f ca="1" t="shared" si="3"/>
        <v>75</v>
      </c>
      <c r="I18" s="23">
        <f ca="1" t="shared" si="3"/>
        <v>35</v>
      </c>
      <c r="J18" s="23">
        <f ca="1" t="shared" si="3"/>
        <v>50</v>
      </c>
      <c r="K18" s="23">
        <f ca="1" t="shared" si="3"/>
        <v>14</v>
      </c>
      <c r="L18" s="23">
        <f ca="1" t="shared" si="3"/>
        <v>72</v>
      </c>
      <c r="M18" s="23">
        <f ca="1" t="shared" si="3"/>
        <v>19</v>
      </c>
      <c r="N18" s="23">
        <f ca="1" t="shared" si="3"/>
        <v>34</v>
      </c>
      <c r="O18" s="23">
        <f ca="1" t="shared" si="3"/>
        <v>80</v>
      </c>
      <c r="P18" s="23">
        <f ca="1" t="shared" si="3"/>
        <v>3</v>
      </c>
      <c r="Q18" s="23">
        <f ca="1" t="shared" si="3"/>
        <v>62</v>
      </c>
      <c r="R18" s="23">
        <f ca="1" t="shared" si="3"/>
        <v>92</v>
      </c>
      <c r="S18" s="23">
        <f ca="1" t="shared" si="3"/>
        <v>53</v>
      </c>
      <c r="T18" s="23">
        <f ca="1" t="shared" si="3"/>
        <v>78</v>
      </c>
      <c r="U18" s="23">
        <f ca="1" t="shared" si="3"/>
        <v>73</v>
      </c>
      <c r="V18" s="23">
        <f ca="1" t="shared" si="3"/>
        <v>37</v>
      </c>
      <c r="W18" s="23">
        <f ca="1" t="shared" si="3"/>
        <v>23</v>
      </c>
      <c r="X18" s="23">
        <f ca="1" t="shared" si="3"/>
        <v>12</v>
      </c>
      <c r="Y18" s="23">
        <f ca="1" t="shared" si="3"/>
        <v>63</v>
      </c>
      <c r="Z18" s="23">
        <f ca="1" t="shared" si="3"/>
        <v>19</v>
      </c>
      <c r="AA18" s="23">
        <f ca="1" t="shared" si="3"/>
        <v>19</v>
      </c>
      <c r="AB18" s="23">
        <f ca="1" t="shared" si="3"/>
        <v>15</v>
      </c>
      <c r="AC18" s="23">
        <f ca="1" t="shared" si="3"/>
        <v>53</v>
      </c>
      <c r="AD18" s="23">
        <f ca="1" t="shared" si="3"/>
        <v>6</v>
      </c>
      <c r="AE18" s="23">
        <f ca="1" t="shared" si="3"/>
        <v>3</v>
      </c>
      <c r="AF18" s="23">
        <f ca="1" t="shared" si="3"/>
        <v>8</v>
      </c>
    </row>
    <row r="19" ht="15" customHeight="1" spans="1:32">
      <c r="A19" s="22" t="s">
        <v>8</v>
      </c>
      <c r="B19" s="23">
        <f ca="1" t="shared" ref="B19:AF19" si="4">RANDBETWEEN(1,100)</f>
        <v>67</v>
      </c>
      <c r="C19" s="23">
        <f ca="1" t="shared" si="4"/>
        <v>38</v>
      </c>
      <c r="D19" s="23">
        <f ca="1" t="shared" si="4"/>
        <v>47</v>
      </c>
      <c r="E19" s="23">
        <f ca="1" t="shared" si="4"/>
        <v>74</v>
      </c>
      <c r="F19" s="23">
        <f ca="1" t="shared" si="4"/>
        <v>55</v>
      </c>
      <c r="G19" s="23">
        <f ca="1" t="shared" si="4"/>
        <v>64</v>
      </c>
      <c r="H19" s="23">
        <f ca="1" t="shared" si="4"/>
        <v>85</v>
      </c>
      <c r="I19" s="23">
        <f ca="1" t="shared" si="4"/>
        <v>78</v>
      </c>
      <c r="J19" s="23">
        <f ca="1" t="shared" si="4"/>
        <v>44</v>
      </c>
      <c r="K19" s="23">
        <f ca="1" t="shared" si="4"/>
        <v>64</v>
      </c>
      <c r="L19" s="23">
        <f ca="1" t="shared" si="4"/>
        <v>26</v>
      </c>
      <c r="M19" s="23">
        <f ca="1" t="shared" si="4"/>
        <v>32</v>
      </c>
      <c r="N19" s="23">
        <f ca="1" t="shared" si="4"/>
        <v>58</v>
      </c>
      <c r="O19" s="23">
        <f ca="1" t="shared" si="4"/>
        <v>65</v>
      </c>
      <c r="P19" s="23">
        <f ca="1" t="shared" si="4"/>
        <v>73</v>
      </c>
      <c r="Q19" s="23">
        <f ca="1" t="shared" si="4"/>
        <v>92</v>
      </c>
      <c r="R19" s="23">
        <f ca="1" t="shared" si="4"/>
        <v>4</v>
      </c>
      <c r="S19" s="23">
        <f ca="1" t="shared" si="4"/>
        <v>45</v>
      </c>
      <c r="T19" s="23">
        <f ca="1" t="shared" si="4"/>
        <v>77</v>
      </c>
      <c r="U19" s="23">
        <f ca="1" t="shared" si="4"/>
        <v>37</v>
      </c>
      <c r="V19" s="23">
        <f ca="1" t="shared" si="4"/>
        <v>89</v>
      </c>
      <c r="W19" s="23">
        <f ca="1" t="shared" si="4"/>
        <v>95</v>
      </c>
      <c r="X19" s="23">
        <f ca="1" t="shared" si="4"/>
        <v>23</v>
      </c>
      <c r="Y19" s="23">
        <f ca="1" t="shared" si="4"/>
        <v>70</v>
      </c>
      <c r="Z19" s="23">
        <f ca="1" t="shared" si="4"/>
        <v>34</v>
      </c>
      <c r="AA19" s="23">
        <f ca="1" t="shared" si="4"/>
        <v>20</v>
      </c>
      <c r="AB19" s="23">
        <f ca="1" t="shared" si="4"/>
        <v>85</v>
      </c>
      <c r="AC19" s="23">
        <f ca="1" t="shared" si="4"/>
        <v>71</v>
      </c>
      <c r="AD19" s="23">
        <f ca="1" t="shared" si="4"/>
        <v>34</v>
      </c>
      <c r="AE19" s="23">
        <f ca="1" t="shared" si="4"/>
        <v>41</v>
      </c>
      <c r="AF19" s="23">
        <f ca="1" t="shared" si="4"/>
        <v>1</v>
      </c>
    </row>
    <row r="20" ht="15" customHeight="1" spans="1:32">
      <c r="A20" s="22" t="s">
        <v>9</v>
      </c>
      <c r="B20" s="23">
        <f ca="1" t="shared" ref="B20:AF20" si="5">RANDBETWEEN(1,100)</f>
        <v>47</v>
      </c>
      <c r="C20" s="23">
        <f ca="1" t="shared" si="5"/>
        <v>87</v>
      </c>
      <c r="D20" s="23">
        <f ca="1" t="shared" si="5"/>
        <v>19</v>
      </c>
      <c r="E20" s="23">
        <f ca="1" t="shared" si="5"/>
        <v>42</v>
      </c>
      <c r="F20" s="23">
        <f ca="1" t="shared" si="5"/>
        <v>56</v>
      </c>
      <c r="G20" s="23">
        <f ca="1" t="shared" si="5"/>
        <v>1</v>
      </c>
      <c r="H20" s="23">
        <f ca="1" t="shared" si="5"/>
        <v>87</v>
      </c>
      <c r="I20" s="23">
        <f ca="1" t="shared" si="5"/>
        <v>24</v>
      </c>
      <c r="J20" s="23">
        <f ca="1" t="shared" si="5"/>
        <v>69</v>
      </c>
      <c r="K20" s="23">
        <f ca="1" t="shared" si="5"/>
        <v>48</v>
      </c>
      <c r="L20" s="23">
        <f ca="1" t="shared" si="5"/>
        <v>13</v>
      </c>
      <c r="M20" s="23">
        <f ca="1" t="shared" si="5"/>
        <v>12</v>
      </c>
      <c r="N20" s="23">
        <f ca="1" t="shared" si="5"/>
        <v>6</v>
      </c>
      <c r="O20" s="23">
        <f ca="1" t="shared" si="5"/>
        <v>19</v>
      </c>
      <c r="P20" s="23">
        <f ca="1" t="shared" si="5"/>
        <v>10</v>
      </c>
      <c r="Q20" s="23">
        <f ca="1" t="shared" si="5"/>
        <v>18</v>
      </c>
      <c r="R20" s="23">
        <f ca="1" t="shared" si="5"/>
        <v>70</v>
      </c>
      <c r="S20" s="23">
        <f ca="1" t="shared" si="5"/>
        <v>78</v>
      </c>
      <c r="T20" s="23">
        <f ca="1" t="shared" si="5"/>
        <v>7</v>
      </c>
      <c r="U20" s="23">
        <f ca="1" t="shared" si="5"/>
        <v>41</v>
      </c>
      <c r="V20" s="23">
        <f ca="1" t="shared" si="5"/>
        <v>43</v>
      </c>
      <c r="W20" s="23">
        <f ca="1" t="shared" si="5"/>
        <v>57</v>
      </c>
      <c r="X20" s="23">
        <f ca="1" t="shared" si="5"/>
        <v>10</v>
      </c>
      <c r="Y20" s="23">
        <f ca="1" t="shared" si="5"/>
        <v>57</v>
      </c>
      <c r="Z20" s="23">
        <f ca="1" t="shared" si="5"/>
        <v>31</v>
      </c>
      <c r="AA20" s="23">
        <f ca="1" t="shared" si="5"/>
        <v>33</v>
      </c>
      <c r="AB20" s="23">
        <f ca="1" t="shared" si="5"/>
        <v>5</v>
      </c>
      <c r="AC20" s="23">
        <f ca="1" t="shared" si="5"/>
        <v>99</v>
      </c>
      <c r="AD20" s="23">
        <f ca="1" t="shared" si="5"/>
        <v>86</v>
      </c>
      <c r="AE20" s="23">
        <f ca="1" t="shared" si="5"/>
        <v>89</v>
      </c>
      <c r="AF20" s="23">
        <f ca="1" t="shared" si="5"/>
        <v>28</v>
      </c>
    </row>
    <row r="21" ht="15" customHeight="1" spans="1:32">
      <c r="A21" s="22" t="s">
        <v>10</v>
      </c>
      <c r="B21" s="23">
        <f ca="1" t="shared" ref="B21:AF21" si="6">RANDBETWEEN(1,100)</f>
        <v>86</v>
      </c>
      <c r="C21" s="23">
        <f ca="1" t="shared" si="6"/>
        <v>63</v>
      </c>
      <c r="D21" s="23">
        <f ca="1" t="shared" si="6"/>
        <v>93</v>
      </c>
      <c r="E21" s="23">
        <f ca="1" t="shared" si="6"/>
        <v>56</v>
      </c>
      <c r="F21" s="23">
        <f ca="1" t="shared" si="6"/>
        <v>13</v>
      </c>
      <c r="G21" s="23">
        <f ca="1" t="shared" si="6"/>
        <v>79</v>
      </c>
      <c r="H21" s="23">
        <f ca="1" t="shared" si="6"/>
        <v>100</v>
      </c>
      <c r="I21" s="23">
        <f ca="1" t="shared" si="6"/>
        <v>86</v>
      </c>
      <c r="J21" s="23">
        <f ca="1" t="shared" si="6"/>
        <v>2</v>
      </c>
      <c r="K21" s="23">
        <f ca="1" t="shared" si="6"/>
        <v>13</v>
      </c>
      <c r="L21" s="23">
        <f ca="1" t="shared" si="6"/>
        <v>71</v>
      </c>
      <c r="M21" s="23">
        <f ca="1" t="shared" si="6"/>
        <v>56</v>
      </c>
      <c r="N21" s="23">
        <f ca="1" t="shared" si="6"/>
        <v>46</v>
      </c>
      <c r="O21" s="23">
        <f ca="1" t="shared" si="6"/>
        <v>84</v>
      </c>
      <c r="P21" s="23">
        <f ca="1" t="shared" si="6"/>
        <v>67</v>
      </c>
      <c r="Q21" s="23">
        <f ca="1" t="shared" si="6"/>
        <v>29</v>
      </c>
      <c r="R21" s="23">
        <f ca="1" t="shared" si="6"/>
        <v>43</v>
      </c>
      <c r="S21" s="23">
        <f ca="1" t="shared" si="6"/>
        <v>60</v>
      </c>
      <c r="T21" s="23">
        <f ca="1" t="shared" si="6"/>
        <v>10</v>
      </c>
      <c r="U21" s="23">
        <f ca="1" t="shared" si="6"/>
        <v>34</v>
      </c>
      <c r="V21" s="23">
        <f ca="1" t="shared" si="6"/>
        <v>69</v>
      </c>
      <c r="W21" s="23">
        <f ca="1" t="shared" si="6"/>
        <v>64</v>
      </c>
      <c r="X21" s="23">
        <f ca="1" t="shared" si="6"/>
        <v>33</v>
      </c>
      <c r="Y21" s="23">
        <f ca="1" t="shared" si="6"/>
        <v>26</v>
      </c>
      <c r="Z21" s="23">
        <f ca="1" t="shared" si="6"/>
        <v>45</v>
      </c>
      <c r="AA21" s="23">
        <f ca="1" t="shared" si="6"/>
        <v>21</v>
      </c>
      <c r="AB21" s="23">
        <f ca="1" t="shared" si="6"/>
        <v>39</v>
      </c>
      <c r="AC21" s="23">
        <f ca="1" t="shared" si="6"/>
        <v>97</v>
      </c>
      <c r="AD21" s="23">
        <f ca="1" t="shared" si="6"/>
        <v>75</v>
      </c>
      <c r="AE21" s="23">
        <f ca="1" t="shared" si="6"/>
        <v>55</v>
      </c>
      <c r="AF21" s="23">
        <f ca="1" t="shared" si="6"/>
        <v>94</v>
      </c>
    </row>
    <row r="22" ht="15" customHeight="1" spans="1:32">
      <c r="A22" s="22" t="s">
        <v>11</v>
      </c>
      <c r="B22" s="23">
        <f ca="1" t="shared" ref="B22:AF22" si="7">RANDBETWEEN(1,100)</f>
        <v>3</v>
      </c>
      <c r="C22" s="23">
        <f ca="1" t="shared" si="7"/>
        <v>55</v>
      </c>
      <c r="D22" s="23">
        <f ca="1" t="shared" si="7"/>
        <v>49</v>
      </c>
      <c r="E22" s="23">
        <f ca="1" t="shared" si="7"/>
        <v>34</v>
      </c>
      <c r="F22" s="23">
        <f ca="1" t="shared" si="7"/>
        <v>95</v>
      </c>
      <c r="G22" s="23">
        <f ca="1" t="shared" si="7"/>
        <v>86</v>
      </c>
      <c r="H22" s="23">
        <f ca="1" t="shared" si="7"/>
        <v>41</v>
      </c>
      <c r="I22" s="23">
        <f ca="1" t="shared" si="7"/>
        <v>6</v>
      </c>
      <c r="J22" s="23">
        <f ca="1" t="shared" si="7"/>
        <v>37</v>
      </c>
      <c r="K22" s="23">
        <f ca="1" t="shared" si="7"/>
        <v>11</v>
      </c>
      <c r="L22" s="23">
        <f ca="1" t="shared" si="7"/>
        <v>48</v>
      </c>
      <c r="M22" s="23">
        <f ca="1" t="shared" si="7"/>
        <v>82</v>
      </c>
      <c r="N22" s="23">
        <f ca="1" t="shared" si="7"/>
        <v>71</v>
      </c>
      <c r="O22" s="23">
        <f ca="1" t="shared" si="7"/>
        <v>22</v>
      </c>
      <c r="P22" s="23">
        <f ca="1" t="shared" si="7"/>
        <v>44</v>
      </c>
      <c r="Q22" s="23">
        <f ca="1" t="shared" si="7"/>
        <v>94</v>
      </c>
      <c r="R22" s="23">
        <f ca="1" t="shared" si="7"/>
        <v>14</v>
      </c>
      <c r="S22" s="23">
        <f ca="1" t="shared" si="7"/>
        <v>79</v>
      </c>
      <c r="T22" s="23">
        <f ca="1" t="shared" si="7"/>
        <v>98</v>
      </c>
      <c r="U22" s="23">
        <f ca="1" t="shared" si="7"/>
        <v>48</v>
      </c>
      <c r="V22" s="23">
        <f ca="1" t="shared" si="7"/>
        <v>66</v>
      </c>
      <c r="W22" s="23">
        <f ca="1" t="shared" si="7"/>
        <v>46</v>
      </c>
      <c r="X22" s="23">
        <f ca="1" t="shared" si="7"/>
        <v>14</v>
      </c>
      <c r="Y22" s="23">
        <f ca="1" t="shared" si="7"/>
        <v>6</v>
      </c>
      <c r="Z22" s="23">
        <f ca="1" t="shared" si="7"/>
        <v>37</v>
      </c>
      <c r="AA22" s="23">
        <f ca="1" t="shared" si="7"/>
        <v>41</v>
      </c>
      <c r="AB22" s="23">
        <f ca="1" t="shared" si="7"/>
        <v>66</v>
      </c>
      <c r="AC22" s="23">
        <f ca="1" t="shared" si="7"/>
        <v>75</v>
      </c>
      <c r="AD22" s="23">
        <f ca="1" t="shared" si="7"/>
        <v>31</v>
      </c>
      <c r="AE22" s="23">
        <f ca="1" t="shared" si="7"/>
        <v>89</v>
      </c>
      <c r="AF22" s="23">
        <f ca="1" t="shared" si="7"/>
        <v>40</v>
      </c>
    </row>
    <row r="23" ht="15" customHeight="1" spans="1:32">
      <c r="A23" s="22" t="s">
        <v>12</v>
      </c>
      <c r="B23" s="23">
        <f ca="1" t="shared" ref="B23:AF23" si="8">RANDBETWEEN(1,100)</f>
        <v>99</v>
      </c>
      <c r="C23" s="23">
        <f ca="1" t="shared" si="8"/>
        <v>36</v>
      </c>
      <c r="D23" s="23">
        <f ca="1" t="shared" si="8"/>
        <v>30</v>
      </c>
      <c r="E23" s="23">
        <f ca="1" t="shared" si="8"/>
        <v>70</v>
      </c>
      <c r="F23" s="23">
        <f ca="1" t="shared" si="8"/>
        <v>52</v>
      </c>
      <c r="G23" s="23">
        <f ca="1" t="shared" si="8"/>
        <v>75</v>
      </c>
      <c r="H23" s="23">
        <f ca="1" t="shared" si="8"/>
        <v>78</v>
      </c>
      <c r="I23" s="23">
        <f ca="1" t="shared" si="8"/>
        <v>1</v>
      </c>
      <c r="J23" s="23">
        <f ca="1" t="shared" si="8"/>
        <v>54</v>
      </c>
      <c r="K23" s="23">
        <f ca="1" t="shared" si="8"/>
        <v>94</v>
      </c>
      <c r="L23" s="23">
        <f ca="1" t="shared" si="8"/>
        <v>25</v>
      </c>
      <c r="M23" s="23">
        <f ca="1" t="shared" si="8"/>
        <v>34</v>
      </c>
      <c r="N23" s="23">
        <f ca="1" t="shared" si="8"/>
        <v>6</v>
      </c>
      <c r="O23" s="23">
        <f ca="1" t="shared" si="8"/>
        <v>47</v>
      </c>
      <c r="P23" s="23">
        <f ca="1" t="shared" si="8"/>
        <v>14</v>
      </c>
      <c r="Q23" s="23">
        <f ca="1" t="shared" si="8"/>
        <v>21</v>
      </c>
      <c r="R23" s="23">
        <f ca="1" t="shared" si="8"/>
        <v>52</v>
      </c>
      <c r="S23" s="23">
        <f ca="1" t="shared" si="8"/>
        <v>54</v>
      </c>
      <c r="T23" s="23">
        <f ca="1" t="shared" si="8"/>
        <v>55</v>
      </c>
      <c r="U23" s="23">
        <f ca="1" t="shared" si="8"/>
        <v>16</v>
      </c>
      <c r="V23" s="23">
        <f ca="1" t="shared" si="8"/>
        <v>66</v>
      </c>
      <c r="W23" s="23">
        <f ca="1" t="shared" si="8"/>
        <v>68</v>
      </c>
      <c r="X23" s="23">
        <f ca="1" t="shared" si="8"/>
        <v>35</v>
      </c>
      <c r="Y23" s="23">
        <f ca="1" t="shared" si="8"/>
        <v>60</v>
      </c>
      <c r="Z23" s="23">
        <f ca="1" t="shared" si="8"/>
        <v>28</v>
      </c>
      <c r="AA23" s="23">
        <f ca="1" t="shared" si="8"/>
        <v>54</v>
      </c>
      <c r="AB23" s="23">
        <f ca="1" t="shared" si="8"/>
        <v>14</v>
      </c>
      <c r="AC23" s="23">
        <f ca="1" t="shared" si="8"/>
        <v>98</v>
      </c>
      <c r="AD23" s="23">
        <f ca="1" t="shared" si="8"/>
        <v>85</v>
      </c>
      <c r="AE23" s="23">
        <f ca="1" t="shared" si="8"/>
        <v>46</v>
      </c>
      <c r="AF23" s="23">
        <f ca="1" t="shared" si="8"/>
        <v>79</v>
      </c>
    </row>
    <row r="24" ht="15" customHeight="1" spans="1:32">
      <c r="A24" s="22" t="s">
        <v>13</v>
      </c>
      <c r="B24" s="23">
        <f ca="1" t="shared" ref="B24:AF24" si="9">RANDBETWEEN(1,100)</f>
        <v>43</v>
      </c>
      <c r="C24" s="23">
        <f ca="1" t="shared" si="9"/>
        <v>5</v>
      </c>
      <c r="D24" s="23">
        <f ca="1" t="shared" si="9"/>
        <v>17</v>
      </c>
      <c r="E24" s="23">
        <f ca="1" t="shared" si="9"/>
        <v>77</v>
      </c>
      <c r="F24" s="23">
        <f ca="1" t="shared" si="9"/>
        <v>3</v>
      </c>
      <c r="G24" s="23">
        <f ca="1" t="shared" si="9"/>
        <v>22</v>
      </c>
      <c r="H24" s="23">
        <f ca="1" t="shared" si="9"/>
        <v>68</v>
      </c>
      <c r="I24" s="23">
        <f ca="1" t="shared" si="9"/>
        <v>68</v>
      </c>
      <c r="J24" s="23">
        <f ca="1" t="shared" si="9"/>
        <v>66</v>
      </c>
      <c r="K24" s="23">
        <f ca="1" t="shared" si="9"/>
        <v>29</v>
      </c>
      <c r="L24" s="23">
        <f ca="1" t="shared" si="9"/>
        <v>8</v>
      </c>
      <c r="M24" s="23">
        <f ca="1" t="shared" si="9"/>
        <v>91</v>
      </c>
      <c r="N24" s="23">
        <f ca="1" t="shared" si="9"/>
        <v>10</v>
      </c>
      <c r="O24" s="23">
        <f ca="1" t="shared" si="9"/>
        <v>14</v>
      </c>
      <c r="P24" s="23">
        <f ca="1" t="shared" si="9"/>
        <v>29</v>
      </c>
      <c r="Q24" s="23">
        <f ca="1" t="shared" si="9"/>
        <v>87</v>
      </c>
      <c r="R24" s="23">
        <f ca="1" t="shared" si="9"/>
        <v>17</v>
      </c>
      <c r="S24" s="23">
        <f ca="1" t="shared" si="9"/>
        <v>77</v>
      </c>
      <c r="T24" s="23">
        <f ca="1" t="shared" si="9"/>
        <v>88</v>
      </c>
      <c r="U24" s="23">
        <f ca="1" t="shared" si="9"/>
        <v>23</v>
      </c>
      <c r="V24" s="23">
        <f ca="1" t="shared" si="9"/>
        <v>9</v>
      </c>
      <c r="W24" s="23">
        <f ca="1" t="shared" si="9"/>
        <v>89</v>
      </c>
      <c r="X24" s="23">
        <f ca="1" t="shared" si="9"/>
        <v>5</v>
      </c>
      <c r="Y24" s="23">
        <f ca="1" t="shared" si="9"/>
        <v>31</v>
      </c>
      <c r="Z24" s="23">
        <f ca="1" t="shared" si="9"/>
        <v>82</v>
      </c>
      <c r="AA24" s="23">
        <f ca="1" t="shared" si="9"/>
        <v>21</v>
      </c>
      <c r="AB24" s="23">
        <f ca="1" t="shared" si="9"/>
        <v>94</v>
      </c>
      <c r="AC24" s="23">
        <f ca="1" t="shared" si="9"/>
        <v>42</v>
      </c>
      <c r="AD24" s="23">
        <f ca="1" t="shared" si="9"/>
        <v>3</v>
      </c>
      <c r="AE24" s="23">
        <f ca="1" t="shared" si="9"/>
        <v>31</v>
      </c>
      <c r="AF24" s="23">
        <f ca="1" t="shared" si="9"/>
        <v>12</v>
      </c>
    </row>
    <row r="25" ht="15" customHeight="1" spans="1:32">
      <c r="A25" s="22" t="s">
        <v>14</v>
      </c>
      <c r="B25" s="23">
        <f ca="1" t="shared" ref="B25:AF25" si="10">RANDBETWEEN(1,100)</f>
        <v>46</v>
      </c>
      <c r="C25" s="23">
        <f ca="1" t="shared" si="10"/>
        <v>62</v>
      </c>
      <c r="D25" s="23">
        <f ca="1" t="shared" si="10"/>
        <v>63</v>
      </c>
      <c r="E25" s="23">
        <f ca="1" t="shared" si="10"/>
        <v>29</v>
      </c>
      <c r="F25" s="23">
        <f ca="1" t="shared" si="10"/>
        <v>7</v>
      </c>
      <c r="G25" s="23">
        <f ca="1" t="shared" si="10"/>
        <v>13</v>
      </c>
      <c r="H25" s="23">
        <f ca="1" t="shared" si="10"/>
        <v>80</v>
      </c>
      <c r="I25" s="23">
        <f ca="1" t="shared" si="10"/>
        <v>50</v>
      </c>
      <c r="J25" s="23">
        <f ca="1" t="shared" si="10"/>
        <v>94</v>
      </c>
      <c r="K25" s="23">
        <f ca="1" t="shared" si="10"/>
        <v>55</v>
      </c>
      <c r="L25" s="23">
        <f ca="1" t="shared" si="10"/>
        <v>10</v>
      </c>
      <c r="M25" s="23">
        <f ca="1" t="shared" si="10"/>
        <v>64</v>
      </c>
      <c r="N25" s="23">
        <f ca="1" t="shared" si="10"/>
        <v>76</v>
      </c>
      <c r="O25" s="23">
        <f ca="1" t="shared" si="10"/>
        <v>74</v>
      </c>
      <c r="P25" s="23">
        <f ca="1" t="shared" si="10"/>
        <v>30</v>
      </c>
      <c r="Q25" s="23">
        <f ca="1" t="shared" si="10"/>
        <v>59</v>
      </c>
      <c r="R25" s="23">
        <f ca="1" t="shared" si="10"/>
        <v>71</v>
      </c>
      <c r="S25" s="23">
        <f ca="1" t="shared" si="10"/>
        <v>33</v>
      </c>
      <c r="T25" s="23">
        <f ca="1" t="shared" si="10"/>
        <v>27</v>
      </c>
      <c r="U25" s="23">
        <f ca="1" t="shared" si="10"/>
        <v>98</v>
      </c>
      <c r="V25" s="23">
        <f ca="1" t="shared" si="10"/>
        <v>51</v>
      </c>
      <c r="W25" s="23">
        <f ca="1" t="shared" si="10"/>
        <v>7</v>
      </c>
      <c r="X25" s="23">
        <f ca="1" t="shared" si="10"/>
        <v>21</v>
      </c>
      <c r="Y25" s="23">
        <f ca="1" t="shared" si="10"/>
        <v>3</v>
      </c>
      <c r="Z25" s="23">
        <f ca="1" t="shared" si="10"/>
        <v>93</v>
      </c>
      <c r="AA25" s="23">
        <f ca="1" t="shared" si="10"/>
        <v>41</v>
      </c>
      <c r="AB25" s="23">
        <f ca="1" t="shared" si="10"/>
        <v>81</v>
      </c>
      <c r="AC25" s="23">
        <f ca="1" t="shared" si="10"/>
        <v>19</v>
      </c>
      <c r="AD25" s="23">
        <f ca="1" t="shared" si="10"/>
        <v>64</v>
      </c>
      <c r="AE25" s="23">
        <f ca="1" t="shared" si="10"/>
        <v>86</v>
      </c>
      <c r="AF25" s="23">
        <f ca="1" t="shared" si="10"/>
        <v>99</v>
      </c>
    </row>
    <row r="26" ht="15" customHeight="1" spans="1:32">
      <c r="A26" s="22" t="s">
        <v>15</v>
      </c>
      <c r="B26" s="23">
        <f ca="1" t="shared" ref="B26:AF26" si="11">RANDBETWEEN(1,100)</f>
        <v>44</v>
      </c>
      <c r="C26" s="23">
        <f ca="1" t="shared" si="11"/>
        <v>38</v>
      </c>
      <c r="D26" s="23">
        <f ca="1" t="shared" si="11"/>
        <v>91</v>
      </c>
      <c r="E26" s="23">
        <f ca="1" t="shared" si="11"/>
        <v>8</v>
      </c>
      <c r="F26" s="23">
        <f ca="1" t="shared" si="11"/>
        <v>96</v>
      </c>
      <c r="G26" s="23">
        <f ca="1" t="shared" si="11"/>
        <v>55</v>
      </c>
      <c r="H26" s="23">
        <f ca="1" t="shared" si="11"/>
        <v>6</v>
      </c>
      <c r="I26" s="23">
        <f ca="1" t="shared" si="11"/>
        <v>54</v>
      </c>
      <c r="J26" s="23">
        <f ca="1" t="shared" si="11"/>
        <v>26</v>
      </c>
      <c r="K26" s="23">
        <f ca="1" t="shared" si="11"/>
        <v>89</v>
      </c>
      <c r="L26" s="23">
        <f ca="1" t="shared" si="11"/>
        <v>43</v>
      </c>
      <c r="M26" s="23">
        <f ca="1" t="shared" si="11"/>
        <v>99</v>
      </c>
      <c r="N26" s="23">
        <f ca="1" t="shared" si="11"/>
        <v>77</v>
      </c>
      <c r="O26" s="23">
        <f ca="1" t="shared" si="11"/>
        <v>66</v>
      </c>
      <c r="P26" s="23">
        <f ca="1" t="shared" si="11"/>
        <v>74</v>
      </c>
      <c r="Q26" s="23">
        <f ca="1" t="shared" si="11"/>
        <v>24</v>
      </c>
      <c r="R26" s="23">
        <f ca="1" t="shared" si="11"/>
        <v>83</v>
      </c>
      <c r="S26" s="23">
        <f ca="1" t="shared" si="11"/>
        <v>10</v>
      </c>
      <c r="T26" s="23">
        <f ca="1" t="shared" si="11"/>
        <v>82</v>
      </c>
      <c r="U26" s="23">
        <f ca="1" t="shared" si="11"/>
        <v>17</v>
      </c>
      <c r="V26" s="23">
        <f ca="1" t="shared" si="11"/>
        <v>25</v>
      </c>
      <c r="W26" s="23">
        <f ca="1" t="shared" si="11"/>
        <v>78</v>
      </c>
      <c r="X26" s="23">
        <f ca="1" t="shared" si="11"/>
        <v>93</v>
      </c>
      <c r="Y26" s="23">
        <f ca="1" t="shared" si="11"/>
        <v>99</v>
      </c>
      <c r="Z26" s="23">
        <f ca="1" t="shared" si="11"/>
        <v>32</v>
      </c>
      <c r="AA26" s="23">
        <f ca="1" t="shared" si="11"/>
        <v>50</v>
      </c>
      <c r="AB26" s="23">
        <f ca="1" t="shared" si="11"/>
        <v>13</v>
      </c>
      <c r="AC26" s="23">
        <f ca="1" t="shared" si="11"/>
        <v>46</v>
      </c>
      <c r="AD26" s="23">
        <f ca="1" t="shared" si="11"/>
        <v>31</v>
      </c>
      <c r="AE26" s="23">
        <f ca="1" t="shared" si="11"/>
        <v>73</v>
      </c>
      <c r="AF26" s="23">
        <f ca="1" t="shared" si="11"/>
        <v>57</v>
      </c>
    </row>
    <row r="27" ht="15" customHeight="1" spans="1:32">
      <c r="A27" s="22" t="s">
        <v>16</v>
      </c>
      <c r="B27" s="23">
        <f ca="1" t="shared" ref="B27:AF27" si="12">RANDBETWEEN(1,100)</f>
        <v>73</v>
      </c>
      <c r="C27" s="23">
        <f ca="1" t="shared" si="12"/>
        <v>5</v>
      </c>
      <c r="D27" s="23">
        <f ca="1" t="shared" si="12"/>
        <v>90</v>
      </c>
      <c r="E27" s="23">
        <f ca="1" t="shared" si="12"/>
        <v>34</v>
      </c>
      <c r="F27" s="23">
        <f ca="1" t="shared" si="12"/>
        <v>16</v>
      </c>
      <c r="G27" s="23">
        <f ca="1" t="shared" si="12"/>
        <v>100</v>
      </c>
      <c r="H27" s="23">
        <f ca="1" t="shared" si="12"/>
        <v>25</v>
      </c>
      <c r="I27" s="23">
        <f ca="1" t="shared" si="12"/>
        <v>12</v>
      </c>
      <c r="J27" s="23">
        <f ca="1" t="shared" si="12"/>
        <v>77</v>
      </c>
      <c r="K27" s="23">
        <f ca="1" t="shared" si="12"/>
        <v>79</v>
      </c>
      <c r="L27" s="23">
        <f ca="1" t="shared" si="12"/>
        <v>99</v>
      </c>
      <c r="M27" s="23">
        <f ca="1" t="shared" si="12"/>
        <v>13</v>
      </c>
      <c r="N27" s="23">
        <f ca="1" t="shared" si="12"/>
        <v>18</v>
      </c>
      <c r="O27" s="23">
        <f ca="1" t="shared" si="12"/>
        <v>29</v>
      </c>
      <c r="P27" s="23">
        <f ca="1" t="shared" si="12"/>
        <v>42</v>
      </c>
      <c r="Q27" s="23">
        <f ca="1" t="shared" si="12"/>
        <v>95</v>
      </c>
      <c r="R27" s="23">
        <f ca="1" t="shared" si="12"/>
        <v>52</v>
      </c>
      <c r="S27" s="23">
        <f ca="1" t="shared" si="12"/>
        <v>66</v>
      </c>
      <c r="T27" s="23">
        <f ca="1" t="shared" si="12"/>
        <v>50</v>
      </c>
      <c r="U27" s="23">
        <f ca="1" t="shared" si="12"/>
        <v>22</v>
      </c>
      <c r="V27" s="23">
        <f ca="1" t="shared" si="12"/>
        <v>76</v>
      </c>
      <c r="W27" s="23">
        <f ca="1" t="shared" si="12"/>
        <v>89</v>
      </c>
      <c r="X27" s="23">
        <f ca="1" t="shared" si="12"/>
        <v>58</v>
      </c>
      <c r="Y27" s="23">
        <f ca="1" t="shared" si="12"/>
        <v>62</v>
      </c>
      <c r="Z27" s="23">
        <f ca="1" t="shared" si="12"/>
        <v>72</v>
      </c>
      <c r="AA27" s="23">
        <f ca="1" t="shared" si="12"/>
        <v>88</v>
      </c>
      <c r="AB27" s="23">
        <f ca="1" t="shared" si="12"/>
        <v>97</v>
      </c>
      <c r="AC27" s="23">
        <f ca="1" t="shared" si="12"/>
        <v>4</v>
      </c>
      <c r="AD27" s="23">
        <f ca="1" t="shared" si="12"/>
        <v>33</v>
      </c>
      <c r="AE27" s="23">
        <f ca="1" t="shared" si="12"/>
        <v>36</v>
      </c>
      <c r="AF27" s="23">
        <f ca="1" t="shared" si="12"/>
        <v>98</v>
      </c>
    </row>
    <row r="28" ht="15" customHeight="1" spans="1:32">
      <c r="A28" s="22" t="s">
        <v>17</v>
      </c>
      <c r="B28" s="23">
        <f ca="1" t="shared" ref="B28:AF28" si="13">RANDBETWEEN(1,100)</f>
        <v>93</v>
      </c>
      <c r="C28" s="23">
        <f ca="1" t="shared" si="13"/>
        <v>43</v>
      </c>
      <c r="D28" s="23">
        <f ca="1" t="shared" si="13"/>
        <v>46</v>
      </c>
      <c r="E28" s="23">
        <f ca="1" t="shared" si="13"/>
        <v>94</v>
      </c>
      <c r="F28" s="23">
        <f ca="1" t="shared" si="13"/>
        <v>60</v>
      </c>
      <c r="G28" s="23">
        <f ca="1" t="shared" si="13"/>
        <v>80</v>
      </c>
      <c r="H28" s="23">
        <f ca="1" t="shared" si="13"/>
        <v>39</v>
      </c>
      <c r="I28" s="23">
        <f ca="1" t="shared" si="13"/>
        <v>7</v>
      </c>
      <c r="J28" s="23">
        <f ca="1" t="shared" si="13"/>
        <v>68</v>
      </c>
      <c r="K28" s="23">
        <f ca="1" t="shared" si="13"/>
        <v>42</v>
      </c>
      <c r="L28" s="23">
        <f ca="1" t="shared" si="13"/>
        <v>73</v>
      </c>
      <c r="M28" s="23">
        <f ca="1" t="shared" si="13"/>
        <v>5</v>
      </c>
      <c r="N28" s="23">
        <f ca="1" t="shared" si="13"/>
        <v>40</v>
      </c>
      <c r="O28" s="23">
        <f ca="1" t="shared" si="13"/>
        <v>76</v>
      </c>
      <c r="P28" s="23">
        <f ca="1" t="shared" si="13"/>
        <v>83</v>
      </c>
      <c r="Q28" s="23">
        <f ca="1" t="shared" si="13"/>
        <v>65</v>
      </c>
      <c r="R28" s="23">
        <f ca="1" t="shared" si="13"/>
        <v>21</v>
      </c>
      <c r="S28" s="23">
        <f ca="1" t="shared" si="13"/>
        <v>78</v>
      </c>
      <c r="T28" s="23">
        <f ca="1" t="shared" si="13"/>
        <v>38</v>
      </c>
      <c r="U28" s="23">
        <f ca="1" t="shared" si="13"/>
        <v>62</v>
      </c>
      <c r="V28" s="23">
        <f ca="1" t="shared" si="13"/>
        <v>35</v>
      </c>
      <c r="W28" s="23">
        <f ca="1" t="shared" si="13"/>
        <v>52</v>
      </c>
      <c r="X28" s="23">
        <f ca="1" t="shared" si="13"/>
        <v>50</v>
      </c>
      <c r="Y28" s="23">
        <f ca="1" t="shared" si="13"/>
        <v>56</v>
      </c>
      <c r="Z28" s="23">
        <f ca="1" t="shared" si="13"/>
        <v>80</v>
      </c>
      <c r="AA28" s="23">
        <f ca="1" t="shared" si="13"/>
        <v>96</v>
      </c>
      <c r="AB28" s="23">
        <f ca="1" t="shared" si="13"/>
        <v>96</v>
      </c>
      <c r="AC28" s="23">
        <f ca="1" t="shared" si="13"/>
        <v>66</v>
      </c>
      <c r="AD28" s="23">
        <f ca="1" t="shared" si="13"/>
        <v>24</v>
      </c>
      <c r="AE28" s="23">
        <f ca="1" t="shared" si="13"/>
        <v>34</v>
      </c>
      <c r="AF28" s="23">
        <f ca="1" t="shared" si="13"/>
        <v>64</v>
      </c>
    </row>
    <row r="29" ht="15" customHeight="1" spans="1:32">
      <c r="A29" s="22" t="s">
        <v>18</v>
      </c>
      <c r="B29" s="23">
        <f ca="1" t="shared" ref="B29:AF29" si="14">RANDBETWEEN(1,100)</f>
        <v>50</v>
      </c>
      <c r="C29" s="23">
        <f ca="1" t="shared" si="14"/>
        <v>68</v>
      </c>
      <c r="D29" s="23">
        <f ca="1" t="shared" si="14"/>
        <v>23</v>
      </c>
      <c r="E29" s="23">
        <f ca="1" t="shared" si="14"/>
        <v>78</v>
      </c>
      <c r="F29" s="23">
        <f ca="1" t="shared" si="14"/>
        <v>70</v>
      </c>
      <c r="G29" s="23">
        <f ca="1" t="shared" si="14"/>
        <v>21</v>
      </c>
      <c r="H29" s="23">
        <f ca="1" t="shared" si="14"/>
        <v>60</v>
      </c>
      <c r="I29" s="23">
        <f ca="1" t="shared" si="14"/>
        <v>28</v>
      </c>
      <c r="J29" s="23">
        <f ca="1" t="shared" si="14"/>
        <v>99</v>
      </c>
      <c r="K29" s="23">
        <f ca="1" t="shared" si="14"/>
        <v>77</v>
      </c>
      <c r="L29" s="23">
        <f ca="1" t="shared" si="14"/>
        <v>33</v>
      </c>
      <c r="M29" s="23">
        <f ca="1" t="shared" si="14"/>
        <v>7</v>
      </c>
      <c r="N29" s="23">
        <f ca="1" t="shared" si="14"/>
        <v>36</v>
      </c>
      <c r="O29" s="23">
        <f ca="1" t="shared" si="14"/>
        <v>24</v>
      </c>
      <c r="P29" s="23">
        <f ca="1" t="shared" si="14"/>
        <v>77</v>
      </c>
      <c r="Q29" s="23">
        <f ca="1" t="shared" si="14"/>
        <v>48</v>
      </c>
      <c r="R29" s="23">
        <f ca="1" t="shared" si="14"/>
        <v>9</v>
      </c>
      <c r="S29" s="23">
        <f ca="1" t="shared" si="14"/>
        <v>18</v>
      </c>
      <c r="T29" s="23">
        <f ca="1" t="shared" si="14"/>
        <v>72</v>
      </c>
      <c r="U29" s="23">
        <f ca="1" t="shared" si="14"/>
        <v>30</v>
      </c>
      <c r="V29" s="23">
        <f ca="1" t="shared" si="14"/>
        <v>45</v>
      </c>
      <c r="W29" s="23">
        <f ca="1" t="shared" si="14"/>
        <v>92</v>
      </c>
      <c r="X29" s="23">
        <f ca="1" t="shared" si="14"/>
        <v>12</v>
      </c>
      <c r="Y29" s="23">
        <f ca="1" t="shared" si="14"/>
        <v>60</v>
      </c>
      <c r="Z29" s="23">
        <f ca="1" t="shared" si="14"/>
        <v>4</v>
      </c>
      <c r="AA29" s="23">
        <f ca="1" t="shared" si="14"/>
        <v>75</v>
      </c>
      <c r="AB29" s="23">
        <f ca="1" t="shared" si="14"/>
        <v>19</v>
      </c>
      <c r="AC29" s="23">
        <f ca="1" t="shared" si="14"/>
        <v>77</v>
      </c>
      <c r="AD29" s="23">
        <f ca="1" t="shared" si="14"/>
        <v>38</v>
      </c>
      <c r="AE29" s="23">
        <f ca="1" t="shared" si="14"/>
        <v>36</v>
      </c>
      <c r="AF29" s="23">
        <f ca="1" t="shared" si="14"/>
        <v>15</v>
      </c>
    </row>
    <row r="30" ht="15" customHeight="1" spans="1:32">
      <c r="A30" s="22" t="s">
        <v>19</v>
      </c>
      <c r="B30" s="23">
        <f ca="1">RANDBETWEEN(100,500)</f>
        <v>479</v>
      </c>
      <c r="C30" s="23">
        <f ca="1" t="shared" ref="C30:AF30" si="15">RANDBETWEEN(150,500)</f>
        <v>371</v>
      </c>
      <c r="D30" s="23">
        <f ca="1" t="shared" si="15"/>
        <v>339</v>
      </c>
      <c r="E30" s="23">
        <f ca="1" t="shared" si="15"/>
        <v>348</v>
      </c>
      <c r="F30" s="23">
        <f ca="1" t="shared" si="15"/>
        <v>215</v>
      </c>
      <c r="G30" s="23">
        <f ca="1" t="shared" si="15"/>
        <v>455</v>
      </c>
      <c r="H30" s="23">
        <f ca="1" t="shared" si="15"/>
        <v>461</v>
      </c>
      <c r="I30" s="23">
        <f ca="1" t="shared" si="15"/>
        <v>196</v>
      </c>
      <c r="J30" s="23">
        <f ca="1" t="shared" si="15"/>
        <v>286</v>
      </c>
      <c r="K30" s="23">
        <f ca="1" t="shared" si="15"/>
        <v>393</v>
      </c>
      <c r="L30" s="23">
        <f ca="1" t="shared" si="15"/>
        <v>257</v>
      </c>
      <c r="M30" s="23">
        <f ca="1" t="shared" si="15"/>
        <v>434</v>
      </c>
      <c r="N30" s="23">
        <f ca="1" t="shared" si="15"/>
        <v>171</v>
      </c>
      <c r="O30" s="23">
        <f ca="1" t="shared" si="15"/>
        <v>419</v>
      </c>
      <c r="P30" s="23">
        <f ca="1" t="shared" si="15"/>
        <v>212</v>
      </c>
      <c r="Q30" s="23">
        <f ca="1" t="shared" si="15"/>
        <v>423</v>
      </c>
      <c r="R30" s="23">
        <f ca="1" t="shared" si="15"/>
        <v>441</v>
      </c>
      <c r="S30" s="23">
        <f ca="1" t="shared" si="15"/>
        <v>217</v>
      </c>
      <c r="T30" s="23">
        <f ca="1" t="shared" si="15"/>
        <v>476</v>
      </c>
      <c r="U30" s="23">
        <f ca="1" t="shared" si="15"/>
        <v>429</v>
      </c>
      <c r="V30" s="23">
        <f ca="1" t="shared" si="15"/>
        <v>241</v>
      </c>
      <c r="W30" s="23">
        <f ca="1" t="shared" si="15"/>
        <v>475</v>
      </c>
      <c r="X30" s="23">
        <f ca="1" t="shared" si="15"/>
        <v>392</v>
      </c>
      <c r="Y30" s="23">
        <f ca="1" t="shared" si="15"/>
        <v>239</v>
      </c>
      <c r="Z30" s="23">
        <f ca="1" t="shared" si="15"/>
        <v>196</v>
      </c>
      <c r="AA30" s="23">
        <f ca="1" t="shared" si="15"/>
        <v>417</v>
      </c>
      <c r="AB30" s="23">
        <f ca="1" t="shared" si="15"/>
        <v>476</v>
      </c>
      <c r="AC30" s="23">
        <f ca="1" t="shared" si="15"/>
        <v>212</v>
      </c>
      <c r="AD30" s="23">
        <f ca="1" t="shared" si="15"/>
        <v>169</v>
      </c>
      <c r="AE30" s="23">
        <f ca="1" t="shared" si="15"/>
        <v>221</v>
      </c>
      <c r="AF30" s="23">
        <f ca="1" t="shared" si="15"/>
        <v>490</v>
      </c>
    </row>
    <row r="31" ht="15" customHeight="1" spans="1:32">
      <c r="A31" s="20" t="s">
        <v>20</v>
      </c>
      <c r="B31" s="23">
        <f ca="1" t="shared" ref="B31:AF31" si="16">SUM(B15:B30)</f>
        <v>1257</v>
      </c>
      <c r="C31" s="23">
        <f ca="1" t="shared" si="16"/>
        <v>1004</v>
      </c>
      <c r="D31" s="23">
        <f ca="1" t="shared" si="16"/>
        <v>1209</v>
      </c>
      <c r="E31" s="23">
        <f ca="1" t="shared" si="16"/>
        <v>1110</v>
      </c>
      <c r="F31" s="23">
        <f ca="1" t="shared" si="16"/>
        <v>901</v>
      </c>
      <c r="G31" s="23">
        <f ca="1" t="shared" si="16"/>
        <v>1205</v>
      </c>
      <c r="H31" s="23">
        <f ca="1" t="shared" si="16"/>
        <v>1337</v>
      </c>
      <c r="I31" s="23">
        <f ca="1" t="shared" si="16"/>
        <v>775</v>
      </c>
      <c r="J31" s="23">
        <f ca="1" t="shared" si="16"/>
        <v>1204</v>
      </c>
      <c r="K31" s="23">
        <f ca="1" t="shared" si="16"/>
        <v>1170</v>
      </c>
      <c r="L31" s="23">
        <f ca="1" t="shared" si="16"/>
        <v>903</v>
      </c>
      <c r="M31" s="23">
        <f ca="1" t="shared" si="16"/>
        <v>1079</v>
      </c>
      <c r="N31" s="23">
        <f ca="1" t="shared" si="16"/>
        <v>762</v>
      </c>
      <c r="O31" s="23">
        <f ca="1" t="shared" si="16"/>
        <v>1129</v>
      </c>
      <c r="P31" s="23">
        <f ca="1" t="shared" si="16"/>
        <v>960</v>
      </c>
      <c r="Q31" s="23">
        <f ca="1" t="shared" si="16"/>
        <v>1251</v>
      </c>
      <c r="R31" s="23">
        <f ca="1" t="shared" si="16"/>
        <v>1139</v>
      </c>
      <c r="S31" s="23">
        <f ca="1" t="shared" si="16"/>
        <v>1053</v>
      </c>
      <c r="T31" s="23">
        <f ca="1" t="shared" si="16"/>
        <v>1358</v>
      </c>
      <c r="U31" s="23">
        <f ca="1" t="shared" si="16"/>
        <v>1088</v>
      </c>
      <c r="V31" s="23">
        <f ca="1" t="shared" si="16"/>
        <v>960</v>
      </c>
      <c r="W31" s="23">
        <f ca="1" t="shared" si="16"/>
        <v>1404</v>
      </c>
      <c r="X31" s="23">
        <f ca="1" t="shared" si="16"/>
        <v>914</v>
      </c>
      <c r="Y31" s="23">
        <f ca="1" t="shared" si="16"/>
        <v>1001</v>
      </c>
      <c r="Z31" s="23">
        <f ca="1" t="shared" si="16"/>
        <v>811</v>
      </c>
      <c r="AA31" s="23">
        <f ca="1" t="shared" si="16"/>
        <v>1106</v>
      </c>
      <c r="AB31" s="23">
        <f ca="1" t="shared" si="16"/>
        <v>1284</v>
      </c>
      <c r="AC31" s="23">
        <f ca="1" t="shared" si="16"/>
        <v>1133</v>
      </c>
      <c r="AD31" s="23">
        <f ca="1" t="shared" si="16"/>
        <v>869</v>
      </c>
      <c r="AE31" s="23">
        <f ca="1" t="shared" si="16"/>
        <v>917</v>
      </c>
      <c r="AF31" s="23">
        <f ca="1" t="shared" si="16"/>
        <v>1287</v>
      </c>
    </row>
    <row r="33" spans="1:10">
      <c r="A33" s="20" t="s">
        <v>21</v>
      </c>
      <c r="B33" s="20" t="s">
        <v>22</v>
      </c>
      <c r="C33" s="20" t="s">
        <v>23</v>
      </c>
      <c r="D33" s="24" t="s">
        <v>24</v>
      </c>
      <c r="E33" s="25"/>
      <c r="G33" s="20" t="s">
        <v>25</v>
      </c>
      <c r="H33" s="20" t="s">
        <v>26</v>
      </c>
      <c r="I33" s="20" t="s">
        <v>27</v>
      </c>
      <c r="J33" s="20" t="s">
        <v>28</v>
      </c>
    </row>
    <row r="34" spans="1:10">
      <c r="A34" s="23">
        <f ca="1">INT(SUM(B36:AF36)/COUNT(B36:AF36))</f>
        <v>1083</v>
      </c>
      <c r="B34" s="23">
        <f ca="1">MIN(B36:AF36)</f>
        <v>762</v>
      </c>
      <c r="C34" s="23">
        <f ca="1">MAX(B36:AF36)</f>
        <v>1404</v>
      </c>
      <c r="D34" s="26">
        <f ca="1">SMALL(B36:AF36,3)</f>
        <v>811</v>
      </c>
      <c r="E34" s="27"/>
      <c r="G34" s="23">
        <f ca="1">SUM(B31:K31)</f>
        <v>11172</v>
      </c>
      <c r="H34" s="23">
        <f ca="1">SUM(L31:U31)</f>
        <v>10722</v>
      </c>
      <c r="I34" s="23">
        <f ca="1">SUM(V31:AF31)</f>
        <v>11686</v>
      </c>
      <c r="J34" s="23">
        <f ca="1">SUM(31:31)</f>
        <v>33580</v>
      </c>
    </row>
    <row r="36" spans="1:32">
      <c r="A36" s="20" t="s">
        <v>29</v>
      </c>
      <c r="B36" s="23">
        <f ca="1" t="shared" ref="B36:AF36" si="17">B31</f>
        <v>1257</v>
      </c>
      <c r="C36" s="23">
        <f ca="1" t="shared" si="17"/>
        <v>1004</v>
      </c>
      <c r="D36" s="23">
        <f ca="1" t="shared" si="17"/>
        <v>1209</v>
      </c>
      <c r="E36" s="23">
        <f ca="1" t="shared" si="17"/>
        <v>1110</v>
      </c>
      <c r="F36" s="23">
        <f ca="1" t="shared" si="17"/>
        <v>901</v>
      </c>
      <c r="G36" s="23">
        <f ca="1" t="shared" si="17"/>
        <v>1205</v>
      </c>
      <c r="H36" s="23">
        <f ca="1" t="shared" si="17"/>
        <v>1337</v>
      </c>
      <c r="I36" s="23">
        <f ca="1" t="shared" si="17"/>
        <v>775</v>
      </c>
      <c r="J36" s="23">
        <f ca="1" t="shared" si="17"/>
        <v>1204</v>
      </c>
      <c r="K36" s="23">
        <f ca="1" t="shared" si="17"/>
        <v>1170</v>
      </c>
      <c r="L36" s="23">
        <f ca="1" t="shared" si="17"/>
        <v>903</v>
      </c>
      <c r="M36" s="23">
        <f ca="1" t="shared" si="17"/>
        <v>1079</v>
      </c>
      <c r="N36" s="23">
        <f ca="1" t="shared" si="17"/>
        <v>762</v>
      </c>
      <c r="O36" s="23">
        <f ca="1" t="shared" si="17"/>
        <v>1129</v>
      </c>
      <c r="P36" s="23">
        <f ca="1" t="shared" si="17"/>
        <v>960</v>
      </c>
      <c r="Q36" s="23">
        <f ca="1" t="shared" si="17"/>
        <v>1251</v>
      </c>
      <c r="R36" s="23">
        <f ca="1" t="shared" si="17"/>
        <v>1139</v>
      </c>
      <c r="S36" s="23">
        <f ca="1" t="shared" si="17"/>
        <v>1053</v>
      </c>
      <c r="T36" s="23">
        <f ca="1" t="shared" si="17"/>
        <v>1358</v>
      </c>
      <c r="U36" s="23">
        <f ca="1" t="shared" si="17"/>
        <v>1088</v>
      </c>
      <c r="V36" s="23">
        <f ca="1" t="shared" si="17"/>
        <v>960</v>
      </c>
      <c r="W36" s="23">
        <f ca="1" t="shared" si="17"/>
        <v>1404</v>
      </c>
      <c r="X36" s="23">
        <f ca="1" t="shared" si="17"/>
        <v>914</v>
      </c>
      <c r="Y36" s="23">
        <f ca="1" t="shared" si="17"/>
        <v>1001</v>
      </c>
      <c r="Z36" s="23">
        <f ca="1" t="shared" si="17"/>
        <v>811</v>
      </c>
      <c r="AA36" s="23">
        <f ca="1" t="shared" si="17"/>
        <v>1106</v>
      </c>
      <c r="AB36" s="23">
        <f ca="1" t="shared" si="17"/>
        <v>1284</v>
      </c>
      <c r="AC36" s="23">
        <f ca="1" t="shared" si="17"/>
        <v>1133</v>
      </c>
      <c r="AD36" s="23">
        <f ca="1" t="shared" si="17"/>
        <v>869</v>
      </c>
      <c r="AE36" s="23">
        <f ca="1" t="shared" si="17"/>
        <v>917</v>
      </c>
      <c r="AF36" s="23">
        <f ca="1" t="shared" si="17"/>
        <v>1287</v>
      </c>
    </row>
    <row r="37" spans="1:32">
      <c r="A37" s="20" t="s">
        <v>30</v>
      </c>
      <c r="B37" s="23">
        <f ca="1">INT(SUM(B36:AF36)/COUNT(B36:AF36))</f>
        <v>1083</v>
      </c>
      <c r="C37" s="23">
        <f ca="1">INT(SUM(B36:AF36)/COUNT(B36:AF36))</f>
        <v>1083</v>
      </c>
      <c r="D37" s="23">
        <f ca="1">INT(SUM(B36:AF36)/COUNT(B36:AF36))</f>
        <v>1083</v>
      </c>
      <c r="E37" s="23">
        <f ca="1">INT(SUM(B36:AF36)/COUNT(B36:AF36))</f>
        <v>1083</v>
      </c>
      <c r="F37" s="23">
        <f ca="1">INT(SUM(B36:AF36)/COUNT(B36:AF36))</f>
        <v>1083</v>
      </c>
      <c r="G37" s="23">
        <f ca="1">INT(SUM(B36:AF36)/COUNT(B36:AF36))</f>
        <v>1083</v>
      </c>
      <c r="H37" s="23">
        <f ca="1">INT(SUM(B36:AF36)/COUNT(B36:AF36))</f>
        <v>1083</v>
      </c>
      <c r="I37" s="23">
        <f ca="1">INT(SUM(B36:AF36)/COUNT(B36:AF36))</f>
        <v>1083</v>
      </c>
      <c r="J37" s="23">
        <f ca="1">INT(SUM(B36:AF36)/COUNT(B36:AF36))</f>
        <v>1083</v>
      </c>
      <c r="K37" s="23">
        <f ca="1">INT(SUM(B36:AF36)/COUNT(B36:AF36))</f>
        <v>1083</v>
      </c>
      <c r="L37" s="23">
        <f ca="1">INT(SUM(B36:AF36)/COUNT(B36:AF36))</f>
        <v>1083</v>
      </c>
      <c r="M37" s="23">
        <f ca="1">INT(SUM(B36:AF36)/COUNT(B36:AF36))</f>
        <v>1083</v>
      </c>
      <c r="N37" s="23">
        <f ca="1">INT(SUM(B36:AF36)/COUNT(B36:AF36))</f>
        <v>1083</v>
      </c>
      <c r="O37" s="23">
        <f ca="1">INT(SUM(B36:AF36)/COUNT(B36:AF36))</f>
        <v>1083</v>
      </c>
      <c r="P37" s="23">
        <f ca="1">INT(SUM(B36:AF36)/COUNT(B36:AF36))</f>
        <v>1083</v>
      </c>
      <c r="Q37" s="23">
        <f ca="1">INT(SUM(B36:AF36)/COUNT(B36:AF36))</f>
        <v>1083</v>
      </c>
      <c r="R37" s="23">
        <f ca="1">INT(SUM(B36:AF36)/COUNT(B36:AF36))</f>
        <v>1083</v>
      </c>
      <c r="S37" s="23">
        <f ca="1">INT(SUM(B36:AF36)/COUNT(B36:AF36))</f>
        <v>1083</v>
      </c>
      <c r="T37" s="23">
        <f ca="1">INT(SUM(B36:AF36)/COUNT(B36:AF36))</f>
        <v>1083</v>
      </c>
      <c r="U37" s="23">
        <f ca="1">INT(SUM(B36:AF36)/COUNT(B36:AF36))</f>
        <v>1083</v>
      </c>
      <c r="V37" s="23">
        <f ca="1">INT(SUM(B36:AF36)/COUNT(B36:AF36))</f>
        <v>1083</v>
      </c>
      <c r="W37" s="23">
        <f ca="1">INT(SUM(B36:AF36)/COUNT(B36:AF36))</f>
        <v>1083</v>
      </c>
      <c r="X37" s="23">
        <f ca="1">INT(SUM(B36:AF36)/COUNT(B36:AF36))</f>
        <v>1083</v>
      </c>
      <c r="Y37" s="23">
        <f ca="1">INT(SUM(B36:AF36)/COUNT(B36:AF36))</f>
        <v>1083</v>
      </c>
      <c r="Z37" s="23">
        <f ca="1">INT(SUM(B36:AF36)/COUNT(B36:AF36))</f>
        <v>1083</v>
      </c>
      <c r="AA37" s="23">
        <f ca="1">INT(SUM(B36:AF36)/COUNT(B36:AF36))</f>
        <v>1083</v>
      </c>
      <c r="AB37" s="23">
        <f ca="1">INT(SUM(B36:AF36)/COUNT(B36:AF36))</f>
        <v>1083</v>
      </c>
      <c r="AC37" s="23">
        <f ca="1">INT(SUM(B36:AF36)/COUNT(B36:AF36))</f>
        <v>1083</v>
      </c>
      <c r="AD37" s="23">
        <f ca="1">INT(SUM(B36:AF36)/COUNT(B36:AF36))</f>
        <v>1083</v>
      </c>
      <c r="AE37" s="23">
        <f ca="1">INT(SUM(B36:AF36)/COUNT(B36:AF36))</f>
        <v>1083</v>
      </c>
      <c r="AF37" s="23">
        <f ca="1">INT(SUM(B36:AF36)/COUNT(B36:AF36))</f>
        <v>1083</v>
      </c>
    </row>
    <row r="38" spans="1:32">
      <c r="A38" s="20" t="s">
        <v>31</v>
      </c>
      <c r="B38" s="23">
        <f ca="1" t="shared" ref="B38:AF38" si="18">IF(B36&gt;B37,B36,NA())</f>
        <v>1257</v>
      </c>
      <c r="C38" s="23" t="e">
        <f ca="1" t="shared" si="18"/>
        <v>#N/A</v>
      </c>
      <c r="D38" s="23">
        <f ca="1" t="shared" si="18"/>
        <v>1209</v>
      </c>
      <c r="E38" s="23">
        <f ca="1" t="shared" si="18"/>
        <v>1110</v>
      </c>
      <c r="F38" s="23" t="e">
        <f ca="1" t="shared" si="18"/>
        <v>#N/A</v>
      </c>
      <c r="G38" s="23">
        <f ca="1" t="shared" si="18"/>
        <v>1205</v>
      </c>
      <c r="H38" s="23">
        <f ca="1" t="shared" si="18"/>
        <v>1337</v>
      </c>
      <c r="I38" s="23" t="e">
        <f ca="1" t="shared" si="18"/>
        <v>#N/A</v>
      </c>
      <c r="J38" s="23">
        <f ca="1" t="shared" si="18"/>
        <v>1204</v>
      </c>
      <c r="K38" s="23">
        <f ca="1" t="shared" si="18"/>
        <v>1170</v>
      </c>
      <c r="L38" s="23" t="e">
        <f ca="1" t="shared" si="18"/>
        <v>#N/A</v>
      </c>
      <c r="M38" s="23" t="e">
        <f ca="1" t="shared" si="18"/>
        <v>#N/A</v>
      </c>
      <c r="N38" s="23" t="e">
        <f ca="1" t="shared" si="18"/>
        <v>#N/A</v>
      </c>
      <c r="O38" s="23">
        <f ca="1" t="shared" si="18"/>
        <v>1129</v>
      </c>
      <c r="P38" s="23" t="e">
        <f ca="1" t="shared" si="18"/>
        <v>#N/A</v>
      </c>
      <c r="Q38" s="23">
        <f ca="1" t="shared" si="18"/>
        <v>1251</v>
      </c>
      <c r="R38" s="23">
        <f ca="1" t="shared" si="18"/>
        <v>1139</v>
      </c>
      <c r="S38" s="23" t="e">
        <f ca="1" t="shared" si="18"/>
        <v>#N/A</v>
      </c>
      <c r="T38" s="23">
        <f ca="1" t="shared" si="18"/>
        <v>1358</v>
      </c>
      <c r="U38" s="23">
        <f ca="1" t="shared" si="18"/>
        <v>1088</v>
      </c>
      <c r="V38" s="23" t="e">
        <f ca="1" t="shared" si="18"/>
        <v>#N/A</v>
      </c>
      <c r="W38" s="23">
        <f ca="1" t="shared" si="18"/>
        <v>1404</v>
      </c>
      <c r="X38" s="23" t="e">
        <f ca="1" t="shared" si="18"/>
        <v>#N/A</v>
      </c>
      <c r="Y38" s="23" t="e">
        <f ca="1" t="shared" si="18"/>
        <v>#N/A</v>
      </c>
      <c r="Z38" s="23" t="e">
        <f ca="1" t="shared" si="18"/>
        <v>#N/A</v>
      </c>
      <c r="AA38" s="23">
        <f ca="1" t="shared" si="18"/>
        <v>1106</v>
      </c>
      <c r="AB38" s="23">
        <f ca="1" t="shared" si="18"/>
        <v>1284</v>
      </c>
      <c r="AC38" s="23">
        <f ca="1" t="shared" si="18"/>
        <v>1133</v>
      </c>
      <c r="AD38" s="23" t="e">
        <f ca="1" t="shared" si="18"/>
        <v>#N/A</v>
      </c>
      <c r="AE38" s="23" t="e">
        <f ca="1" t="shared" si="18"/>
        <v>#N/A</v>
      </c>
      <c r="AF38" s="23">
        <f ca="1" t="shared" si="18"/>
        <v>1287</v>
      </c>
    </row>
    <row r="39" spans="1:32">
      <c r="A39" s="20" t="s">
        <v>32</v>
      </c>
      <c r="B39" s="23" t="e">
        <f ca="1" t="shared" ref="B39:G39" si="19">IF(B36&lt;D34,B36,IF(B36&lt;B37,B36,NA()))</f>
        <v>#N/A</v>
      </c>
      <c r="C39" s="23">
        <f ca="1" t="shared" si="19"/>
        <v>1004</v>
      </c>
      <c r="D39" s="23">
        <f ca="1">IF(D36&lt;J34,D36,IF(D36&lt;D37,D36,NA()))</f>
        <v>1209</v>
      </c>
      <c r="E39" s="23">
        <f ca="1" t="shared" si="19"/>
        <v>1110</v>
      </c>
      <c r="F39" s="23">
        <f ca="1" t="shared" si="19"/>
        <v>901</v>
      </c>
      <c r="G39" s="23">
        <f ca="1" t="shared" si="19"/>
        <v>1205</v>
      </c>
      <c r="H39" s="23" t="e">
        <f ca="1">IF(H36&lt;#REF!,H36,IF(H36&lt;H37,H36,NA()))</f>
        <v>#REF!</v>
      </c>
      <c r="I39" s="23">
        <f ca="1" t="shared" ref="I39:AF39" si="20">IF(I36&lt;K34,I36,IF(I36&lt;I37,I36,NA()))</f>
        <v>775</v>
      </c>
      <c r="J39" s="23" t="e">
        <f ca="1" t="shared" si="20"/>
        <v>#N/A</v>
      </c>
      <c r="K39" s="23" t="e">
        <f ca="1" t="shared" si="20"/>
        <v>#N/A</v>
      </c>
      <c r="L39" s="23">
        <f ca="1" t="shared" si="20"/>
        <v>903</v>
      </c>
      <c r="M39" s="23">
        <f ca="1" t="shared" si="20"/>
        <v>1079</v>
      </c>
      <c r="N39" s="23">
        <f ca="1" t="shared" si="20"/>
        <v>762</v>
      </c>
      <c r="O39" s="23" t="e">
        <f ca="1" t="shared" si="20"/>
        <v>#N/A</v>
      </c>
      <c r="P39" s="23">
        <f ca="1" t="shared" si="20"/>
        <v>960</v>
      </c>
      <c r="Q39" s="23" t="e">
        <f ca="1" t="shared" si="20"/>
        <v>#N/A</v>
      </c>
      <c r="R39" s="23" t="e">
        <f ca="1" t="shared" si="20"/>
        <v>#N/A</v>
      </c>
      <c r="S39" s="23">
        <f ca="1" t="shared" si="20"/>
        <v>1053</v>
      </c>
      <c r="T39" s="23" t="e">
        <f ca="1" t="shared" si="20"/>
        <v>#N/A</v>
      </c>
      <c r="U39" s="23" t="e">
        <f ca="1" t="shared" si="20"/>
        <v>#N/A</v>
      </c>
      <c r="V39" s="23">
        <f ca="1" t="shared" si="20"/>
        <v>960</v>
      </c>
      <c r="W39" s="23" t="e">
        <f ca="1" t="shared" si="20"/>
        <v>#N/A</v>
      </c>
      <c r="X39" s="23">
        <f ca="1" t="shared" si="20"/>
        <v>914</v>
      </c>
      <c r="Y39" s="23">
        <f ca="1" t="shared" si="20"/>
        <v>1001</v>
      </c>
      <c r="Z39" s="23">
        <f ca="1" t="shared" si="20"/>
        <v>811</v>
      </c>
      <c r="AA39" s="23" t="e">
        <f ca="1" t="shared" si="20"/>
        <v>#N/A</v>
      </c>
      <c r="AB39" s="23" t="e">
        <f ca="1" t="shared" si="20"/>
        <v>#N/A</v>
      </c>
      <c r="AC39" s="23" t="e">
        <f ca="1" t="shared" si="20"/>
        <v>#N/A</v>
      </c>
      <c r="AD39" s="23">
        <f ca="1" t="shared" si="20"/>
        <v>869</v>
      </c>
      <c r="AE39" s="23">
        <f ca="1" t="shared" si="20"/>
        <v>917</v>
      </c>
      <c r="AF39" s="23" t="e">
        <f ca="1" t="shared" si="20"/>
        <v>#N/A</v>
      </c>
    </row>
    <row r="41" spans="1:8">
      <c r="A41" s="20"/>
      <c r="B41" s="20" t="s">
        <v>33</v>
      </c>
      <c r="C41" s="20" t="e">
        <f t="shared" ref="C41:G41" si="21">NA()</f>
        <v>#N/A</v>
      </c>
      <c r="D41" s="20" t="s">
        <v>34</v>
      </c>
      <c r="E41" s="20" t="e">
        <f t="shared" si="21"/>
        <v>#N/A</v>
      </c>
      <c r="F41" s="20" t="s">
        <v>35</v>
      </c>
      <c r="G41" s="20" t="e">
        <f t="shared" si="21"/>
        <v>#N/A</v>
      </c>
      <c r="H41" s="20" t="s">
        <v>36</v>
      </c>
    </row>
    <row r="42" spans="1:32">
      <c r="A42" s="20" t="s">
        <v>37</v>
      </c>
      <c r="B42" s="28">
        <f ca="1">SUM(LARGE(B36:AF36,{1,2,3,4,5}))/J34*100%</f>
        <v>0.198630136986301</v>
      </c>
      <c r="C42" s="29" t="e">
        <f t="shared" ref="C42:G42" si="22">NA()</f>
        <v>#N/A</v>
      </c>
      <c r="D42" s="29">
        <f ca="1">SUM(LARGE(B36:AF36,{1,2,3,4,5,6,7,8,9,10}))/J34*100%</f>
        <v>0.38106015485408</v>
      </c>
      <c r="E42" s="29" t="e">
        <f t="shared" si="22"/>
        <v>#N/A</v>
      </c>
      <c r="F42" s="29">
        <f ca="1">SUM(SMALL(B36:AF36,1),SMALL(B36:AF36,2),SMALL(B36:AF36,3),SMALL(B36:AF36,4),SMALL(B36:AF36,5),SMALL(B36:AF36,6),SMALL(B36:AF36,7),SMALL(B36:AF36,8),SMALL(B36:AF36,9),SMALL(B36:AF36,10))/J34*100%</f>
        <v>0.261226920786182</v>
      </c>
      <c r="G42" s="29" t="e">
        <f t="shared" si="22"/>
        <v>#N/A</v>
      </c>
      <c r="H42" s="29">
        <f ca="1">SUM(SMALL(B36:AF36,1),SMALL(B36:AF36,2),SMALL(B36:AF36,3),SMALL(B36:AF36,4),SMALL(B36:AF36,5))/J34*100%</f>
        <v>0.12263251935676</v>
      </c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2:32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2:26">
      <c r="B44" s="31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7"/>
      <c r="S44" s="38"/>
      <c r="T44" s="39"/>
      <c r="U44" s="39"/>
      <c r="V44" s="39"/>
      <c r="W44" s="39"/>
      <c r="X44" s="39"/>
      <c r="Y44" s="39"/>
      <c r="Z44" s="45"/>
    </row>
    <row r="45" spans="2:26">
      <c r="B45" s="33"/>
      <c r="R45" s="40"/>
      <c r="S45" s="41"/>
      <c r="T45" s="42"/>
      <c r="U45" s="42"/>
      <c r="V45" s="42"/>
      <c r="W45" s="42"/>
      <c r="X45" s="42"/>
      <c r="Y45" s="42"/>
      <c r="Z45" s="46"/>
    </row>
    <row r="46" spans="2:26">
      <c r="B46" s="33"/>
      <c r="R46" s="40"/>
      <c r="S46" s="41"/>
      <c r="T46" s="42"/>
      <c r="U46" s="42"/>
      <c r="V46" s="42"/>
      <c r="W46" s="42"/>
      <c r="X46" s="42"/>
      <c r="Y46" s="42"/>
      <c r="Z46" s="46"/>
    </row>
    <row r="47" spans="2:26">
      <c r="B47" s="33"/>
      <c r="R47" s="40"/>
      <c r="S47" s="41"/>
      <c r="T47" s="42"/>
      <c r="U47" s="42"/>
      <c r="V47" s="42"/>
      <c r="W47" s="42"/>
      <c r="X47" s="42"/>
      <c r="Y47" s="42"/>
      <c r="Z47" s="46"/>
    </row>
    <row r="48" spans="2:26">
      <c r="B48" s="33"/>
      <c r="R48" s="40"/>
      <c r="S48" s="41"/>
      <c r="T48" s="42"/>
      <c r="U48" s="42"/>
      <c r="V48" s="42"/>
      <c r="W48" s="42"/>
      <c r="X48" s="42"/>
      <c r="Y48" s="42"/>
      <c r="Z48" s="46"/>
    </row>
    <row r="49" spans="2:26">
      <c r="B49" s="33"/>
      <c r="R49" s="40"/>
      <c r="S49" s="41"/>
      <c r="T49" s="42"/>
      <c r="U49" s="42"/>
      <c r="V49" s="42"/>
      <c r="W49" s="42"/>
      <c r="X49" s="42"/>
      <c r="Y49" s="42"/>
      <c r="Z49" s="46"/>
    </row>
    <row r="50" spans="2:26">
      <c r="B50" s="33"/>
      <c r="R50" s="40"/>
      <c r="S50" s="41"/>
      <c r="T50" s="42"/>
      <c r="U50" s="42"/>
      <c r="V50" s="42"/>
      <c r="W50" s="42"/>
      <c r="X50" s="42"/>
      <c r="Y50" s="42"/>
      <c r="Z50" s="46"/>
    </row>
    <row r="51" spans="2:26">
      <c r="B51" s="33"/>
      <c r="R51" s="40"/>
      <c r="S51" s="41"/>
      <c r="T51" s="42"/>
      <c r="U51" s="42"/>
      <c r="V51" s="42"/>
      <c r="W51" s="42"/>
      <c r="X51" s="42"/>
      <c r="Y51" s="42"/>
      <c r="Z51" s="46"/>
    </row>
    <row r="52" spans="2:26">
      <c r="B52" s="33"/>
      <c r="R52" s="40"/>
      <c r="S52" s="41"/>
      <c r="T52" s="42"/>
      <c r="U52" s="42"/>
      <c r="V52" s="42"/>
      <c r="W52" s="42"/>
      <c r="X52" s="42"/>
      <c r="Y52" s="42"/>
      <c r="Z52" s="46"/>
    </row>
    <row r="53" spans="2:26">
      <c r="B53" s="33"/>
      <c r="R53" s="40"/>
      <c r="S53" s="41"/>
      <c r="T53" s="42"/>
      <c r="U53" s="42"/>
      <c r="V53" s="42"/>
      <c r="W53" s="42"/>
      <c r="X53" s="42"/>
      <c r="Y53" s="42"/>
      <c r="Z53" s="46"/>
    </row>
    <row r="54" spans="2:26">
      <c r="B54" s="33"/>
      <c r="R54" s="40"/>
      <c r="S54" s="41"/>
      <c r="T54" s="42"/>
      <c r="U54" s="42"/>
      <c r="V54" s="42"/>
      <c r="W54" s="42"/>
      <c r="X54" s="42"/>
      <c r="Y54" s="42"/>
      <c r="Z54" s="46"/>
    </row>
    <row r="55" spans="2:26">
      <c r="B55" s="33"/>
      <c r="R55" s="40"/>
      <c r="S55" s="41"/>
      <c r="T55" s="42"/>
      <c r="U55" s="42"/>
      <c r="V55" s="42"/>
      <c r="W55" s="42"/>
      <c r="X55" s="42"/>
      <c r="Y55" s="42"/>
      <c r="Z55" s="46"/>
    </row>
    <row r="56" spans="2:26">
      <c r="B56" s="33"/>
      <c r="R56" s="40"/>
      <c r="S56" s="41"/>
      <c r="T56" s="42"/>
      <c r="U56" s="42"/>
      <c r="V56" s="42"/>
      <c r="W56" s="42"/>
      <c r="X56" s="42"/>
      <c r="Y56" s="42"/>
      <c r="Z56" s="46"/>
    </row>
    <row r="57" spans="2:26">
      <c r="B57" s="33"/>
      <c r="R57" s="40"/>
      <c r="S57" s="41"/>
      <c r="T57" s="42"/>
      <c r="U57" s="42"/>
      <c r="V57" s="42"/>
      <c r="W57" s="42"/>
      <c r="X57" s="42"/>
      <c r="Y57" s="42"/>
      <c r="Z57" s="46"/>
    </row>
    <row r="58" spans="2:26">
      <c r="B58" s="33"/>
      <c r="R58" s="40"/>
      <c r="S58" s="43"/>
      <c r="T58" s="44"/>
      <c r="U58" s="44"/>
      <c r="V58" s="44"/>
      <c r="W58" s="44"/>
      <c r="X58" s="44"/>
      <c r="Y58" s="44"/>
      <c r="Z58" s="47"/>
    </row>
    <row r="59" spans="2:26">
      <c r="B59" s="33"/>
      <c r="R59" s="40"/>
      <c r="S59" s="31"/>
      <c r="T59" s="32"/>
      <c r="U59" s="32"/>
      <c r="V59" s="32"/>
      <c r="W59" s="32"/>
      <c r="X59" s="32"/>
      <c r="Y59" s="32"/>
      <c r="Z59" s="37"/>
    </row>
    <row r="60" spans="2:26">
      <c r="B60" s="33"/>
      <c r="R60" s="40"/>
      <c r="S60" s="33"/>
      <c r="Z60" s="40"/>
    </row>
    <row r="61" spans="2:26">
      <c r="B61" s="33"/>
      <c r="R61" s="40"/>
      <c r="S61" s="33"/>
      <c r="Z61" s="40"/>
    </row>
    <row r="62" spans="2:26">
      <c r="B62" s="33"/>
      <c r="R62" s="40"/>
      <c r="S62" s="33"/>
      <c r="Z62" s="40"/>
    </row>
    <row r="63" spans="2:26">
      <c r="B63" s="33"/>
      <c r="R63" s="40"/>
      <c r="S63" s="33"/>
      <c r="Z63" s="40"/>
    </row>
    <row r="64" spans="2:26">
      <c r="B64" s="33"/>
      <c r="R64" s="40"/>
      <c r="S64" s="33"/>
      <c r="Z64" s="40"/>
    </row>
    <row r="65" spans="2:26">
      <c r="B65" s="33"/>
      <c r="R65" s="40"/>
      <c r="S65" s="33"/>
      <c r="Z65" s="40"/>
    </row>
    <row r="66" spans="2:26">
      <c r="B66" s="33"/>
      <c r="R66" s="40"/>
      <c r="S66" s="33"/>
      <c r="Z66" s="40"/>
    </row>
    <row r="67" spans="2:26">
      <c r="B67" s="33"/>
      <c r="R67" s="40"/>
      <c r="S67" s="33"/>
      <c r="Z67" s="40"/>
    </row>
    <row r="68" spans="2:26">
      <c r="B68" s="33"/>
      <c r="R68" s="40"/>
      <c r="S68" s="33"/>
      <c r="Z68" s="40"/>
    </row>
    <row r="69" spans="2:26">
      <c r="B69" s="33"/>
      <c r="R69" s="40"/>
      <c r="S69" s="33"/>
      <c r="Z69" s="40"/>
    </row>
    <row r="70" spans="2:26">
      <c r="B70" s="33"/>
      <c r="R70" s="40"/>
      <c r="S70" s="33"/>
      <c r="Z70" s="40"/>
    </row>
    <row r="71" spans="2:26">
      <c r="B71" s="33"/>
      <c r="R71" s="40"/>
      <c r="S71" s="33"/>
      <c r="Z71" s="40"/>
    </row>
    <row r="72" spans="2:26">
      <c r="B72" s="33"/>
      <c r="R72" s="40"/>
      <c r="S72" s="33"/>
      <c r="Z72" s="40"/>
    </row>
    <row r="73" spans="1:26">
      <c r="A73" s="48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64"/>
      <c r="S73" s="49"/>
      <c r="T73" s="50"/>
      <c r="U73" s="50"/>
      <c r="V73" s="50"/>
      <c r="W73" s="50"/>
      <c r="X73" s="50"/>
      <c r="Y73" s="50"/>
      <c r="Z73" s="64"/>
    </row>
    <row r="74" spans="1:1">
      <c r="A74" s="51"/>
    </row>
    <row r="75" spans="1:1">
      <c r="A75" s="48"/>
    </row>
    <row r="76" s="13" customFormat="1" spans="1:1">
      <c r="A76" s="52"/>
    </row>
    <row r="77" ht="17" customHeight="1" spans="1:13">
      <c r="A77" s="20" t="s">
        <v>3</v>
      </c>
      <c r="B77" s="53" t="s">
        <v>38</v>
      </c>
      <c r="C77" s="53" t="s">
        <v>39</v>
      </c>
      <c r="D77" s="53" t="s">
        <v>40</v>
      </c>
      <c r="E77" s="53" t="s">
        <v>41</v>
      </c>
      <c r="F77" s="53" t="s">
        <v>42</v>
      </c>
      <c r="G77" s="53" t="s">
        <v>43</v>
      </c>
      <c r="H77" s="53" t="s">
        <v>44</v>
      </c>
      <c r="I77" s="53" t="s">
        <v>45</v>
      </c>
      <c r="J77" s="53" t="s">
        <v>46</v>
      </c>
      <c r="K77" s="53" t="s">
        <v>47</v>
      </c>
      <c r="L77" s="53" t="s">
        <v>48</v>
      </c>
      <c r="M77" s="53" t="s">
        <v>49</v>
      </c>
    </row>
    <row r="78" ht="17" customHeight="1" spans="1:13">
      <c r="A78" s="22" t="s">
        <v>5</v>
      </c>
      <c r="B78" s="23">
        <v>98</v>
      </c>
      <c r="C78" s="23">
        <v>77</v>
      </c>
      <c r="D78" s="23">
        <v>49</v>
      </c>
      <c r="E78" s="23">
        <v>83</v>
      </c>
      <c r="F78" s="23">
        <v>54</v>
      </c>
      <c r="G78" s="23">
        <v>70</v>
      </c>
      <c r="H78" s="23">
        <v>4</v>
      </c>
      <c r="I78" s="23">
        <v>83</v>
      </c>
      <c r="J78" s="23">
        <v>2</v>
      </c>
      <c r="K78" s="23">
        <v>33</v>
      </c>
      <c r="L78" s="23">
        <v>29</v>
      </c>
      <c r="M78" s="23">
        <v>36</v>
      </c>
    </row>
    <row r="79" ht="17" customHeight="1" spans="1:13">
      <c r="A79" s="22" t="s">
        <v>6</v>
      </c>
      <c r="B79" s="23">
        <v>18</v>
      </c>
      <c r="C79" s="23">
        <v>84</v>
      </c>
      <c r="D79" s="23">
        <v>92</v>
      </c>
      <c r="E79" s="23">
        <v>88</v>
      </c>
      <c r="F79" s="23">
        <v>59</v>
      </c>
      <c r="G79" s="23">
        <v>97</v>
      </c>
      <c r="H79" s="23">
        <v>57</v>
      </c>
      <c r="I79" s="23">
        <v>61</v>
      </c>
      <c r="J79" s="23">
        <v>52</v>
      </c>
      <c r="K79" s="23">
        <v>93</v>
      </c>
      <c r="L79" s="23">
        <v>40</v>
      </c>
      <c r="M79" s="23">
        <v>96</v>
      </c>
    </row>
    <row r="80" ht="17" customHeight="1" spans="1:13">
      <c r="A80" s="22" t="s">
        <v>7</v>
      </c>
      <c r="B80" s="23">
        <v>55</v>
      </c>
      <c r="C80" s="23">
        <v>42</v>
      </c>
      <c r="D80" s="23">
        <v>66</v>
      </c>
      <c r="E80" s="23">
        <v>1</v>
      </c>
      <c r="F80" s="23">
        <v>60</v>
      </c>
      <c r="G80" s="23">
        <v>47</v>
      </c>
      <c r="H80" s="23">
        <v>54</v>
      </c>
      <c r="I80" s="23">
        <v>57</v>
      </c>
      <c r="J80" s="23">
        <v>87</v>
      </c>
      <c r="K80" s="23">
        <v>94</v>
      </c>
      <c r="L80" s="23">
        <v>22</v>
      </c>
      <c r="M80" s="23">
        <v>29</v>
      </c>
    </row>
    <row r="81" ht="17" customHeight="1" spans="1:13">
      <c r="A81" s="22" t="s">
        <v>2</v>
      </c>
      <c r="B81" s="23">
        <v>91</v>
      </c>
      <c r="C81" s="23">
        <v>71</v>
      </c>
      <c r="D81" s="23">
        <v>98</v>
      </c>
      <c r="E81" s="23">
        <v>53</v>
      </c>
      <c r="F81" s="23">
        <v>86</v>
      </c>
      <c r="G81" s="23">
        <v>31</v>
      </c>
      <c r="H81" s="23">
        <v>78</v>
      </c>
      <c r="I81" s="23">
        <v>96</v>
      </c>
      <c r="J81" s="23">
        <v>5</v>
      </c>
      <c r="K81" s="23">
        <v>65</v>
      </c>
      <c r="L81" s="23">
        <v>3</v>
      </c>
      <c r="M81" s="23">
        <v>8</v>
      </c>
    </row>
    <row r="82" ht="17" customHeight="1" spans="1:13">
      <c r="A82" s="22" t="s">
        <v>8</v>
      </c>
      <c r="B82" s="23">
        <v>53</v>
      </c>
      <c r="C82" s="23">
        <v>50</v>
      </c>
      <c r="D82" s="23">
        <v>59</v>
      </c>
      <c r="E82" s="23">
        <v>73</v>
      </c>
      <c r="F82" s="23">
        <v>73</v>
      </c>
      <c r="G82" s="23">
        <v>25</v>
      </c>
      <c r="H82" s="23">
        <v>52</v>
      </c>
      <c r="I82" s="23">
        <v>75</v>
      </c>
      <c r="J82" s="23">
        <v>79</v>
      </c>
      <c r="K82" s="23">
        <v>71</v>
      </c>
      <c r="L82" s="23">
        <v>10</v>
      </c>
      <c r="M82" s="23">
        <v>75</v>
      </c>
    </row>
    <row r="83" ht="17" customHeight="1" spans="1:13">
      <c r="A83" s="22" t="s">
        <v>9</v>
      </c>
      <c r="B83" s="23">
        <v>92</v>
      </c>
      <c r="C83" s="23">
        <v>46</v>
      </c>
      <c r="D83" s="23">
        <v>95</v>
      </c>
      <c r="E83" s="23">
        <v>63</v>
      </c>
      <c r="F83" s="23">
        <v>88</v>
      </c>
      <c r="G83" s="54">
        <v>28</v>
      </c>
      <c r="H83" s="23">
        <v>2</v>
      </c>
      <c r="I83" s="23">
        <v>44</v>
      </c>
      <c r="J83" s="23">
        <v>53</v>
      </c>
      <c r="K83" s="23">
        <v>48</v>
      </c>
      <c r="L83" s="23">
        <v>44</v>
      </c>
      <c r="M83" s="23">
        <v>8</v>
      </c>
    </row>
    <row r="84" ht="17" customHeight="1" spans="1:13">
      <c r="A84" s="22" t="s">
        <v>10</v>
      </c>
      <c r="B84" s="23">
        <v>70</v>
      </c>
      <c r="C84" s="23">
        <v>13</v>
      </c>
      <c r="D84" s="23">
        <v>92</v>
      </c>
      <c r="E84" s="23">
        <v>21</v>
      </c>
      <c r="F84" s="23">
        <v>78</v>
      </c>
      <c r="G84" s="23">
        <v>64</v>
      </c>
      <c r="H84" s="23">
        <v>45</v>
      </c>
      <c r="I84" s="23">
        <v>100</v>
      </c>
      <c r="J84" s="23">
        <v>12</v>
      </c>
      <c r="K84" s="23">
        <v>13</v>
      </c>
      <c r="L84" s="23">
        <v>6</v>
      </c>
      <c r="M84" s="23">
        <v>90</v>
      </c>
    </row>
    <row r="85" ht="17" customHeight="1" spans="1:13">
      <c r="A85" s="22" t="s">
        <v>11</v>
      </c>
      <c r="B85" s="23">
        <v>56</v>
      </c>
      <c r="C85" s="23">
        <v>29</v>
      </c>
      <c r="D85" s="23">
        <v>90</v>
      </c>
      <c r="E85" s="23">
        <v>44</v>
      </c>
      <c r="F85" s="23">
        <v>8</v>
      </c>
      <c r="G85" s="23">
        <v>16</v>
      </c>
      <c r="H85" s="23">
        <v>10</v>
      </c>
      <c r="I85" s="23">
        <v>68</v>
      </c>
      <c r="J85" s="23">
        <v>16</v>
      </c>
      <c r="K85" s="23">
        <v>54</v>
      </c>
      <c r="L85" s="23">
        <v>22</v>
      </c>
      <c r="M85" s="23">
        <v>32</v>
      </c>
    </row>
    <row r="86" ht="17" customHeight="1" spans="1:13">
      <c r="A86" s="22" t="s">
        <v>12</v>
      </c>
      <c r="B86" s="23">
        <v>91</v>
      </c>
      <c r="C86" s="23">
        <v>42</v>
      </c>
      <c r="D86" s="23">
        <v>49</v>
      </c>
      <c r="E86" s="23">
        <v>67</v>
      </c>
      <c r="F86" s="23">
        <v>15</v>
      </c>
      <c r="G86" s="23">
        <v>55</v>
      </c>
      <c r="H86" s="23">
        <v>35</v>
      </c>
      <c r="I86" s="23">
        <v>75</v>
      </c>
      <c r="J86" s="23">
        <v>89</v>
      </c>
      <c r="K86" s="23">
        <v>85</v>
      </c>
      <c r="L86" s="23">
        <v>21</v>
      </c>
      <c r="M86" s="23">
        <v>100</v>
      </c>
    </row>
    <row r="87" ht="17" customHeight="1" spans="1:13">
      <c r="A87" s="22" t="s">
        <v>13</v>
      </c>
      <c r="B87" s="23">
        <v>62</v>
      </c>
      <c r="C87" s="23">
        <v>40</v>
      </c>
      <c r="D87" s="23">
        <v>60</v>
      </c>
      <c r="E87" s="23">
        <v>84</v>
      </c>
      <c r="F87" s="23">
        <v>28</v>
      </c>
      <c r="G87" s="23">
        <v>90</v>
      </c>
      <c r="H87" s="23">
        <v>62</v>
      </c>
      <c r="I87" s="23">
        <v>79</v>
      </c>
      <c r="J87" s="23">
        <v>34</v>
      </c>
      <c r="K87" s="23">
        <v>57</v>
      </c>
      <c r="L87" s="23">
        <v>53</v>
      </c>
      <c r="M87" s="23">
        <v>11</v>
      </c>
    </row>
    <row r="88" ht="17" customHeight="1" spans="1:13">
      <c r="A88" s="22" t="s">
        <v>14</v>
      </c>
      <c r="B88" s="23">
        <v>75</v>
      </c>
      <c r="C88" s="23">
        <v>10</v>
      </c>
      <c r="D88" s="23">
        <v>82</v>
      </c>
      <c r="E88" s="23">
        <v>54</v>
      </c>
      <c r="F88" s="23">
        <v>33</v>
      </c>
      <c r="G88" s="23">
        <v>52</v>
      </c>
      <c r="H88" s="23">
        <v>31</v>
      </c>
      <c r="I88" s="23">
        <v>57</v>
      </c>
      <c r="J88" s="23">
        <v>78</v>
      </c>
      <c r="K88" s="23">
        <v>82</v>
      </c>
      <c r="L88" s="23">
        <v>74</v>
      </c>
      <c r="M88" s="23">
        <v>23</v>
      </c>
    </row>
    <row r="89" ht="17" customHeight="1" spans="1:13">
      <c r="A89" s="22" t="s">
        <v>15</v>
      </c>
      <c r="B89" s="23">
        <v>8</v>
      </c>
      <c r="C89" s="23">
        <v>98</v>
      </c>
      <c r="D89" s="23">
        <v>62</v>
      </c>
      <c r="E89" s="23">
        <v>63</v>
      </c>
      <c r="F89" s="23">
        <v>97</v>
      </c>
      <c r="G89" s="23">
        <v>67</v>
      </c>
      <c r="H89" s="23">
        <v>19</v>
      </c>
      <c r="I89" s="23">
        <v>74</v>
      </c>
      <c r="J89" s="23">
        <v>14</v>
      </c>
      <c r="K89" s="54">
        <v>47</v>
      </c>
      <c r="L89" s="23">
        <v>65</v>
      </c>
      <c r="M89" s="23">
        <v>57</v>
      </c>
    </row>
    <row r="90" ht="17" customHeight="1" spans="1:13">
      <c r="A90" s="22" t="s">
        <v>16</v>
      </c>
      <c r="B90" s="23">
        <v>30</v>
      </c>
      <c r="C90" s="23">
        <v>70</v>
      </c>
      <c r="D90" s="23">
        <v>37</v>
      </c>
      <c r="E90" s="23">
        <v>88</v>
      </c>
      <c r="F90" s="23">
        <v>73</v>
      </c>
      <c r="G90" s="23">
        <v>100</v>
      </c>
      <c r="H90" s="23">
        <v>92</v>
      </c>
      <c r="I90" s="23">
        <v>67</v>
      </c>
      <c r="J90" s="23">
        <v>3</v>
      </c>
      <c r="K90" s="23">
        <v>43</v>
      </c>
      <c r="L90" s="23">
        <v>4</v>
      </c>
      <c r="M90" s="23">
        <v>89</v>
      </c>
    </row>
    <row r="91" ht="17" customHeight="1" spans="1:13">
      <c r="A91" s="22" t="s">
        <v>17</v>
      </c>
      <c r="B91" s="23">
        <v>29</v>
      </c>
      <c r="C91" s="23">
        <v>65</v>
      </c>
      <c r="D91" s="23">
        <v>92</v>
      </c>
      <c r="E91" s="23">
        <v>83</v>
      </c>
      <c r="F91" s="23">
        <v>20</v>
      </c>
      <c r="G91" s="23">
        <v>25</v>
      </c>
      <c r="H91" s="23">
        <v>76</v>
      </c>
      <c r="I91" s="23">
        <v>24</v>
      </c>
      <c r="J91" s="23">
        <v>42</v>
      </c>
      <c r="K91" s="23">
        <v>91</v>
      </c>
      <c r="L91" s="23">
        <v>91</v>
      </c>
      <c r="M91" s="23">
        <v>50</v>
      </c>
    </row>
    <row r="92" ht="17" customHeight="1" spans="1:13">
      <c r="A92" s="22" t="s">
        <v>18</v>
      </c>
      <c r="B92" s="23">
        <v>14</v>
      </c>
      <c r="C92" s="23">
        <v>6</v>
      </c>
      <c r="D92" s="23">
        <v>43</v>
      </c>
      <c r="E92" s="23">
        <v>62</v>
      </c>
      <c r="F92" s="23">
        <v>32</v>
      </c>
      <c r="G92" s="23">
        <v>65</v>
      </c>
      <c r="H92" s="23">
        <v>69</v>
      </c>
      <c r="I92" s="23">
        <v>60</v>
      </c>
      <c r="J92" s="23">
        <v>73</v>
      </c>
      <c r="K92" s="23">
        <v>94</v>
      </c>
      <c r="L92" s="23">
        <v>80</v>
      </c>
      <c r="M92" s="23">
        <v>24</v>
      </c>
    </row>
    <row r="93" ht="17" customHeight="1" spans="1:13">
      <c r="A93" s="22" t="s">
        <v>19</v>
      </c>
      <c r="B93" s="23">
        <v>368</v>
      </c>
      <c r="C93" s="23">
        <v>374</v>
      </c>
      <c r="D93" s="23">
        <v>192</v>
      </c>
      <c r="E93" s="23">
        <v>340</v>
      </c>
      <c r="F93" s="23">
        <v>195</v>
      </c>
      <c r="G93" s="23">
        <v>200</v>
      </c>
      <c r="H93" s="23">
        <v>208</v>
      </c>
      <c r="I93" s="23">
        <v>166</v>
      </c>
      <c r="J93" s="23">
        <v>365</v>
      </c>
      <c r="K93" s="23">
        <v>170</v>
      </c>
      <c r="L93" s="23">
        <v>451</v>
      </c>
      <c r="M93" s="23">
        <v>271</v>
      </c>
    </row>
    <row r="95" spans="1:1">
      <c r="A95" s="4" t="s">
        <v>57</v>
      </c>
    </row>
    <row r="96" ht="17" customHeight="1" spans="1:23">
      <c r="A96" s="20" t="s">
        <v>18</v>
      </c>
      <c r="B96" s="53" t="s">
        <v>51</v>
      </c>
      <c r="C96" s="53" t="s">
        <v>23</v>
      </c>
      <c r="D96" s="53" t="s">
        <v>22</v>
      </c>
      <c r="F96" s="55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65"/>
    </row>
    <row r="97" ht="17" customHeight="1" spans="1:23">
      <c r="A97" s="22" t="str">
        <f ca="1">IF(OFFSET($B$77,,ROW(1:1)-1)="","",OFFSET($B$77,,ROW(1:1)-1))</f>
        <v>一月</v>
      </c>
      <c r="B97" s="57">
        <f ca="1">INDEX(B78:M93,MATCH(A96,A78:A93,0),MATCH(A97,B77:M77,0))</f>
        <v>14</v>
      </c>
      <c r="C97" s="57" t="e">
        <f ca="1">IF(MAX(B97:B108)=B97,B97,NA())</f>
        <v>#N/A</v>
      </c>
      <c r="D97" s="57" t="e">
        <f ca="1">IF(MIN(B97:B108)=B97,B97,NA())</f>
        <v>#N/A</v>
      </c>
      <c r="F97" s="58"/>
      <c r="G97" s="59"/>
      <c r="H97" s="59"/>
      <c r="I97" s="62" t="s">
        <v>58</v>
      </c>
      <c r="J97" s="59"/>
      <c r="K97" s="59"/>
      <c r="L97" s="59"/>
      <c r="M97" s="59"/>
      <c r="N97" s="59"/>
      <c r="O97" s="59"/>
      <c r="P97" s="59"/>
      <c r="Q97" s="59"/>
      <c r="R97" s="62" t="s">
        <v>59</v>
      </c>
      <c r="S97" s="59"/>
      <c r="T97" s="59"/>
      <c r="U97" s="59"/>
      <c r="V97" s="59"/>
      <c r="W97" s="66"/>
    </row>
    <row r="98" ht="17" customHeight="1" spans="1:23">
      <c r="A98" s="22" t="str">
        <f ca="1">IF(OFFSET($B$77,,ROW(2:2)-1)="","",OFFSET($B$77,,ROW(2:2)-1))</f>
        <v>二月</v>
      </c>
      <c r="B98" s="57">
        <f ca="1">INDEX(B78:M93,MATCH(A96,A78:A93,0),MATCH(A98,B77:M77,0))</f>
        <v>6</v>
      </c>
      <c r="C98" s="57" t="e">
        <f ca="1">IF(MAX(B97:B108)=B98,B98,NA())</f>
        <v>#N/A</v>
      </c>
      <c r="D98" s="57">
        <f ca="1">IF(MIN(B97:B108)=B98,B98,NA())</f>
        <v>6</v>
      </c>
      <c r="F98" s="58"/>
      <c r="G98" s="59"/>
      <c r="H98" s="59"/>
      <c r="I98" s="62" t="s">
        <v>60</v>
      </c>
      <c r="J98" s="59"/>
      <c r="K98" s="59"/>
      <c r="L98" s="59"/>
      <c r="M98" s="59"/>
      <c r="N98" s="59"/>
      <c r="O98" s="59"/>
      <c r="P98" s="59"/>
      <c r="Q98" s="59"/>
      <c r="R98" s="62" t="s">
        <v>61</v>
      </c>
      <c r="S98" s="59"/>
      <c r="T98" s="59">
        <v>97</v>
      </c>
      <c r="U98" s="62" t="s">
        <v>62</v>
      </c>
      <c r="V98" s="59">
        <v>97</v>
      </c>
      <c r="W98" s="67" t="s">
        <v>63</v>
      </c>
    </row>
    <row r="99" ht="17" customHeight="1" spans="1:23">
      <c r="A99" s="22" t="str">
        <f ca="1" t="shared" ref="A99:A108" si="23">IF(OFFSET($B$77,,ROW(3:3)-1)="","",OFFSET($B$77,,ROW(3:3)-1))</f>
        <v>三月</v>
      </c>
      <c r="B99" s="57">
        <f ca="1">INDEX(B78:M93,MATCH(A96,A78:A93,0),MATCH(A99,B77:M77,0))</f>
        <v>43</v>
      </c>
      <c r="C99" s="57" t="e">
        <f ca="1">IF(MAX(B97:B108)=B99,B99,NA())</f>
        <v>#N/A</v>
      </c>
      <c r="D99" s="57" t="e">
        <f ca="1">IF(MIN(B97:B108)=B99,B99,NA())</f>
        <v>#N/A</v>
      </c>
      <c r="F99" s="58"/>
      <c r="G99" s="59"/>
      <c r="H99" s="59"/>
      <c r="I99" s="62" t="s">
        <v>64</v>
      </c>
      <c r="J99" s="59"/>
      <c r="K99" s="59"/>
      <c r="L99" s="59"/>
      <c r="M99" s="59"/>
      <c r="N99" s="59"/>
      <c r="O99" s="62" t="s">
        <v>65</v>
      </c>
      <c r="P99" s="62" t="s">
        <v>66</v>
      </c>
      <c r="Q99" s="59"/>
      <c r="R99" s="62" t="s">
        <v>61</v>
      </c>
      <c r="S99" s="59"/>
      <c r="T99" s="59">
        <v>98</v>
      </c>
      <c r="U99" s="62" t="s">
        <v>62</v>
      </c>
      <c r="V99" s="59">
        <v>98</v>
      </c>
      <c r="W99" s="67" t="s">
        <v>63</v>
      </c>
    </row>
    <row r="100" ht="17" customHeight="1" spans="1:23">
      <c r="A100" s="22" t="str">
        <f ca="1" t="shared" si="23"/>
        <v>四月</v>
      </c>
      <c r="B100" s="57">
        <f ca="1">INDEX(B78:M93,MATCH(A96,A78:A93,0),MATCH(A100,B77:M77,0))</f>
        <v>62</v>
      </c>
      <c r="C100" s="57" t="e">
        <f ca="1">IF(MAX(B97:B108)=B100,B100,NA())</f>
        <v>#N/A</v>
      </c>
      <c r="D100" s="57" t="e">
        <f ca="1">IF(MIN(B97:B108)=B100,B100,NA())</f>
        <v>#N/A</v>
      </c>
      <c r="F100" s="58"/>
      <c r="G100" s="59"/>
      <c r="H100" s="59"/>
      <c r="I100" s="62" t="s">
        <v>64</v>
      </c>
      <c r="J100" s="59"/>
      <c r="K100" s="59"/>
      <c r="L100" s="59"/>
      <c r="M100" s="59"/>
      <c r="N100" s="59"/>
      <c r="O100" s="62" t="s">
        <v>67</v>
      </c>
      <c r="P100" s="62" t="s">
        <v>66</v>
      </c>
      <c r="Q100" s="59"/>
      <c r="R100" s="62" t="s">
        <v>61</v>
      </c>
      <c r="S100" s="59"/>
      <c r="T100" s="59">
        <v>99</v>
      </c>
      <c r="U100" s="62" t="s">
        <v>62</v>
      </c>
      <c r="V100" s="59">
        <v>99</v>
      </c>
      <c r="W100" s="67" t="s">
        <v>63</v>
      </c>
    </row>
    <row r="101" ht="17" customHeight="1" spans="1:23">
      <c r="A101" s="22" t="str">
        <f ca="1" t="shared" si="23"/>
        <v>五月</v>
      </c>
      <c r="B101" s="57">
        <f ca="1">INDEX(B78:M93,MATCH(A96,A78:A93,0),MATCH(A101,B77:M77,0))</f>
        <v>32</v>
      </c>
      <c r="C101" s="57" t="e">
        <f ca="1">IF(MAX(B97:B108)=B101,B101,NA())</f>
        <v>#N/A</v>
      </c>
      <c r="D101" s="57" t="e">
        <f ca="1">IF(MIN(B97:B108)=B101,B101,NA())</f>
        <v>#N/A</v>
      </c>
      <c r="F101" s="58"/>
      <c r="G101" s="59"/>
      <c r="H101" s="59"/>
      <c r="I101" s="62" t="s">
        <v>64</v>
      </c>
      <c r="J101" s="59"/>
      <c r="K101" s="59"/>
      <c r="L101" s="59"/>
      <c r="M101" s="59"/>
      <c r="N101" s="59"/>
      <c r="O101" s="62" t="s">
        <v>68</v>
      </c>
      <c r="P101" s="62" t="s">
        <v>66</v>
      </c>
      <c r="Q101" s="59"/>
      <c r="R101" s="62" t="s">
        <v>61</v>
      </c>
      <c r="S101" s="59"/>
      <c r="T101" s="59">
        <v>100</v>
      </c>
      <c r="U101" s="62" t="s">
        <v>62</v>
      </c>
      <c r="V101" s="59">
        <v>100</v>
      </c>
      <c r="W101" s="67" t="s">
        <v>63</v>
      </c>
    </row>
    <row r="102" ht="17" customHeight="1" spans="1:23">
      <c r="A102" s="22" t="str">
        <f ca="1" t="shared" si="23"/>
        <v>六月</v>
      </c>
      <c r="B102" s="57">
        <f ca="1">INDEX(B78:M93,MATCH(A96,A78:A93,0),MATCH(A102,B77:M77,0))</f>
        <v>65</v>
      </c>
      <c r="C102" s="57" t="e">
        <f ca="1">IF(MAX(B97:B108)=B102,B102,NA())</f>
        <v>#N/A</v>
      </c>
      <c r="D102" s="57" t="e">
        <f ca="1">IF(MIN(B97:B108)=B102,B102,NA())</f>
        <v>#N/A</v>
      </c>
      <c r="F102" s="58"/>
      <c r="G102" s="59"/>
      <c r="H102" s="59"/>
      <c r="I102" s="62" t="s">
        <v>64</v>
      </c>
      <c r="J102" s="59"/>
      <c r="K102" s="59"/>
      <c r="L102" s="59"/>
      <c r="M102" s="59"/>
      <c r="N102" s="59"/>
      <c r="O102" s="62" t="s">
        <v>69</v>
      </c>
      <c r="P102" s="62" t="s">
        <v>66</v>
      </c>
      <c r="Q102" s="59"/>
      <c r="R102" s="62" t="s">
        <v>61</v>
      </c>
      <c r="S102" s="59"/>
      <c r="T102" s="59">
        <v>101</v>
      </c>
      <c r="U102" s="62" t="s">
        <v>62</v>
      </c>
      <c r="V102" s="59">
        <v>101</v>
      </c>
      <c r="W102" s="67" t="s">
        <v>63</v>
      </c>
    </row>
    <row r="103" ht="17" customHeight="1" spans="1:23">
      <c r="A103" s="22" t="str">
        <f ca="1" t="shared" si="23"/>
        <v>七月</v>
      </c>
      <c r="B103" s="57">
        <f ca="1">INDEX(B78:M93,MATCH(A96,A78:A93,0),MATCH(A103,B77:M77,0))</f>
        <v>69</v>
      </c>
      <c r="C103" s="57" t="e">
        <f ca="1">IF(MAX(B97:B108)=B103,B103,NA())</f>
        <v>#N/A</v>
      </c>
      <c r="D103" s="57" t="e">
        <f ca="1">IF(MIN(B97:B108)=B103,B103,NA())</f>
        <v>#N/A</v>
      </c>
      <c r="F103" s="58"/>
      <c r="G103" s="59"/>
      <c r="H103" s="59"/>
      <c r="I103" s="62" t="s">
        <v>64</v>
      </c>
      <c r="J103" s="59"/>
      <c r="K103" s="59"/>
      <c r="L103" s="59"/>
      <c r="M103" s="59"/>
      <c r="N103" s="59"/>
      <c r="O103" s="62" t="s">
        <v>70</v>
      </c>
      <c r="P103" s="62" t="s">
        <v>66</v>
      </c>
      <c r="Q103" s="59"/>
      <c r="R103" s="62" t="s">
        <v>61</v>
      </c>
      <c r="S103" s="59"/>
      <c r="T103" s="59">
        <v>102</v>
      </c>
      <c r="U103" s="62" t="s">
        <v>62</v>
      </c>
      <c r="V103" s="59">
        <v>102</v>
      </c>
      <c r="W103" s="67" t="s">
        <v>63</v>
      </c>
    </row>
    <row r="104" ht="17" customHeight="1" spans="1:23">
      <c r="A104" s="22" t="str">
        <f ca="1" t="shared" si="23"/>
        <v>八月</v>
      </c>
      <c r="B104" s="57">
        <f ca="1">INDEX(B78:M93,MATCH(A96,A78:A93,0),MATCH(A104,B77:M77,0))</f>
        <v>60</v>
      </c>
      <c r="C104" s="57" t="e">
        <f ca="1">IF(MAX(B97:B108)=B104,B104,NA())</f>
        <v>#N/A</v>
      </c>
      <c r="D104" s="57" t="e">
        <f ca="1">IF(MIN(B97:B108)=B104,B104,NA())</f>
        <v>#N/A</v>
      </c>
      <c r="F104" s="58"/>
      <c r="G104" s="59"/>
      <c r="H104" s="59"/>
      <c r="I104" s="62" t="s">
        <v>64</v>
      </c>
      <c r="J104" s="59"/>
      <c r="K104" s="59"/>
      <c r="L104" s="59"/>
      <c r="M104" s="59"/>
      <c r="N104" s="59"/>
      <c r="O104" s="62" t="s">
        <v>71</v>
      </c>
      <c r="P104" s="62" t="s">
        <v>66</v>
      </c>
      <c r="Q104" s="59"/>
      <c r="R104" s="62" t="s">
        <v>61</v>
      </c>
      <c r="S104" s="59"/>
      <c r="T104" s="59">
        <v>103</v>
      </c>
      <c r="U104" s="62" t="s">
        <v>62</v>
      </c>
      <c r="V104" s="59">
        <v>103</v>
      </c>
      <c r="W104" s="67" t="s">
        <v>63</v>
      </c>
    </row>
    <row r="105" ht="17" customHeight="1" spans="1:23">
      <c r="A105" s="22" t="str">
        <f ca="1" t="shared" si="23"/>
        <v>九月</v>
      </c>
      <c r="B105" s="57">
        <f ca="1">INDEX(B78:M93,MATCH(A96,A78:A93,0),MATCH(A105,B77:M77,0))</f>
        <v>73</v>
      </c>
      <c r="C105" s="57" t="e">
        <f ca="1">IF(MAX(B97:B108)=B105,B105,NA())</f>
        <v>#N/A</v>
      </c>
      <c r="D105" s="57" t="e">
        <f ca="1">IF(MIN(B97:B108)=B105,B105,NA())</f>
        <v>#N/A</v>
      </c>
      <c r="F105" s="58"/>
      <c r="G105" s="59"/>
      <c r="H105" s="59"/>
      <c r="I105" s="62" t="s">
        <v>64</v>
      </c>
      <c r="J105" s="59"/>
      <c r="K105" s="59"/>
      <c r="L105" s="59"/>
      <c r="M105" s="59"/>
      <c r="N105" s="59"/>
      <c r="O105" s="62" t="s">
        <v>72</v>
      </c>
      <c r="P105" s="62" t="s">
        <v>66</v>
      </c>
      <c r="Q105" s="59"/>
      <c r="R105" s="62" t="s">
        <v>61</v>
      </c>
      <c r="S105" s="59"/>
      <c r="T105" s="59">
        <v>104</v>
      </c>
      <c r="U105" s="62" t="s">
        <v>62</v>
      </c>
      <c r="V105" s="59">
        <v>104</v>
      </c>
      <c r="W105" s="67" t="s">
        <v>63</v>
      </c>
    </row>
    <row r="106" ht="17" customHeight="1" spans="1:23">
      <c r="A106" s="22" t="str">
        <f ca="1" t="shared" si="23"/>
        <v>十月</v>
      </c>
      <c r="B106" s="57">
        <f ca="1">INDEX(B78:M93,MATCH(A96,A78:A93,0),MATCH(A106,B77:M77,0))</f>
        <v>94</v>
      </c>
      <c r="C106" s="57">
        <f ca="1">IF(MAX(B97:B108)=B106,B106,NA())</f>
        <v>94</v>
      </c>
      <c r="D106" s="57" t="e">
        <f ca="1">IF(MIN(B97:B108)=B106,B106,NA())</f>
        <v>#N/A</v>
      </c>
      <c r="F106" s="58"/>
      <c r="G106" s="59"/>
      <c r="H106" s="59"/>
      <c r="I106" s="62" t="s">
        <v>64</v>
      </c>
      <c r="J106" s="59"/>
      <c r="K106" s="59"/>
      <c r="L106" s="59"/>
      <c r="M106" s="59"/>
      <c r="N106" s="59"/>
      <c r="O106" s="62" t="s">
        <v>73</v>
      </c>
      <c r="P106" s="62" t="s">
        <v>66</v>
      </c>
      <c r="Q106" s="59"/>
      <c r="R106" s="62" t="s">
        <v>61</v>
      </c>
      <c r="S106" s="59"/>
      <c r="T106" s="59">
        <v>105</v>
      </c>
      <c r="U106" s="62" t="s">
        <v>62</v>
      </c>
      <c r="V106" s="59">
        <v>105</v>
      </c>
      <c r="W106" s="67" t="s">
        <v>63</v>
      </c>
    </row>
    <row r="107" ht="17" customHeight="1" spans="1:23">
      <c r="A107" s="22" t="str">
        <f ca="1" t="shared" si="23"/>
        <v>十一月</v>
      </c>
      <c r="B107" s="57">
        <f ca="1">INDEX(B78:M93,MATCH(A96,A78:A93,0),MATCH(A107,B77:M77,0))</f>
        <v>80</v>
      </c>
      <c r="C107" s="57" t="e">
        <f ca="1">IF(MAX(B97:B108)=B107,B107,NA())</f>
        <v>#N/A</v>
      </c>
      <c r="D107" s="57" t="e">
        <f ca="1">IF(MIN(B97:B108)=B107,B107,NA())</f>
        <v>#N/A</v>
      </c>
      <c r="F107" s="58"/>
      <c r="G107" s="59"/>
      <c r="H107" s="59"/>
      <c r="I107" s="62" t="s">
        <v>64</v>
      </c>
      <c r="J107" s="59"/>
      <c r="K107" s="59"/>
      <c r="L107" s="59"/>
      <c r="M107" s="59"/>
      <c r="N107" s="59"/>
      <c r="O107" s="62" t="s">
        <v>74</v>
      </c>
      <c r="P107" s="62" t="s">
        <v>66</v>
      </c>
      <c r="Q107" s="59"/>
      <c r="R107" s="62" t="s">
        <v>61</v>
      </c>
      <c r="S107" s="59"/>
      <c r="T107" s="59">
        <v>106</v>
      </c>
      <c r="U107" s="62" t="s">
        <v>62</v>
      </c>
      <c r="V107" s="59">
        <v>106</v>
      </c>
      <c r="W107" s="67" t="s">
        <v>63</v>
      </c>
    </row>
    <row r="108" ht="17" customHeight="1" spans="1:23">
      <c r="A108" s="22" t="str">
        <f ca="1" t="shared" si="23"/>
        <v>十二月</v>
      </c>
      <c r="B108" s="57">
        <f ca="1">INDEX(B78:M93,MATCH(A96,A78:A93,0),MATCH(A108,B77:M77,0))</f>
        <v>24</v>
      </c>
      <c r="C108" s="57" t="e">
        <f ca="1">IF(MAX(B97:B108)=B108,B108,NA())</f>
        <v>#N/A</v>
      </c>
      <c r="D108" s="57" t="e">
        <f ca="1">IF(MIN(B97:B108)=B108,B108,NA())</f>
        <v>#N/A</v>
      </c>
      <c r="F108" s="58"/>
      <c r="G108" s="59"/>
      <c r="H108" s="59"/>
      <c r="I108" s="62" t="s">
        <v>64</v>
      </c>
      <c r="J108" s="59"/>
      <c r="K108" s="59"/>
      <c r="L108" s="59"/>
      <c r="M108" s="59"/>
      <c r="N108" s="59"/>
      <c r="O108" s="62" t="s">
        <v>75</v>
      </c>
      <c r="P108" s="62" t="s">
        <v>66</v>
      </c>
      <c r="Q108" s="59"/>
      <c r="R108" s="62" t="s">
        <v>61</v>
      </c>
      <c r="S108" s="59"/>
      <c r="T108" s="59">
        <v>107</v>
      </c>
      <c r="U108" s="62" t="s">
        <v>62</v>
      </c>
      <c r="V108" s="59">
        <v>107</v>
      </c>
      <c r="W108" s="67" t="s">
        <v>63</v>
      </c>
    </row>
    <row r="109" spans="1:23">
      <c r="A109" s="4" t="str">
        <f ca="1">IF(OFFSET($B$77,,ROW(13:13)-1)="","",offse($B$77,,ROW(13:13)-1))</f>
        <v/>
      </c>
      <c r="F109" s="58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66"/>
    </row>
    <row r="110" spans="1:23">
      <c r="A110" s="4" t="str">
        <f ca="1">IF(OFFSET($B$77,,ROW(14:14)-1)="","",offse($B$77,,ROW(14:14)-1))</f>
        <v/>
      </c>
      <c r="F110" s="58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62" t="s">
        <v>76</v>
      </c>
      <c r="S110" s="59"/>
      <c r="T110" s="59">
        <v>97</v>
      </c>
      <c r="U110" s="62" t="s">
        <v>62</v>
      </c>
      <c r="V110" s="59">
        <v>97</v>
      </c>
      <c r="W110" s="67" t="s">
        <v>63</v>
      </c>
    </row>
    <row r="111" spans="6:23">
      <c r="F111" s="58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62" t="s">
        <v>76</v>
      </c>
      <c r="S111" s="59"/>
      <c r="T111" s="59">
        <v>98</v>
      </c>
      <c r="U111" s="62" t="s">
        <v>62</v>
      </c>
      <c r="V111" s="59">
        <v>98</v>
      </c>
      <c r="W111" s="67" t="s">
        <v>63</v>
      </c>
    </row>
    <row r="112" spans="6:23">
      <c r="F112" s="58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62" t="s">
        <v>76</v>
      </c>
      <c r="S112" s="59"/>
      <c r="T112" s="59">
        <v>99</v>
      </c>
      <c r="U112" s="62" t="s">
        <v>62</v>
      </c>
      <c r="V112" s="59">
        <v>99</v>
      </c>
      <c r="W112" s="67" t="s">
        <v>63</v>
      </c>
    </row>
    <row r="113" spans="6:23">
      <c r="F113" s="58"/>
      <c r="G113" s="59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62" t="s">
        <v>76</v>
      </c>
      <c r="S113" s="59"/>
      <c r="T113" s="59">
        <v>100</v>
      </c>
      <c r="U113" s="62" t="s">
        <v>62</v>
      </c>
      <c r="V113" s="59">
        <v>100</v>
      </c>
      <c r="W113" s="67" t="s">
        <v>63</v>
      </c>
    </row>
    <row r="114" spans="6:23">
      <c r="F114" s="58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62" t="s">
        <v>76</v>
      </c>
      <c r="S114" s="59"/>
      <c r="T114" s="59">
        <v>101</v>
      </c>
      <c r="U114" s="62" t="s">
        <v>62</v>
      </c>
      <c r="V114" s="59">
        <v>101</v>
      </c>
      <c r="W114" s="67" t="s">
        <v>63</v>
      </c>
    </row>
    <row r="115" spans="6:23">
      <c r="F115" s="58"/>
      <c r="G115" s="59"/>
      <c r="H115" s="59"/>
      <c r="I115" s="59"/>
      <c r="J115" s="63"/>
      <c r="K115" s="59"/>
      <c r="L115" s="59"/>
      <c r="M115" s="59"/>
      <c r="N115" s="59"/>
      <c r="O115" s="59"/>
      <c r="P115" s="59"/>
      <c r="Q115" s="59"/>
      <c r="R115" s="62" t="s">
        <v>76</v>
      </c>
      <c r="S115" s="59"/>
      <c r="T115" s="59">
        <v>102</v>
      </c>
      <c r="U115" s="62" t="s">
        <v>62</v>
      </c>
      <c r="V115" s="59">
        <v>102</v>
      </c>
      <c r="W115" s="67" t="s">
        <v>63</v>
      </c>
    </row>
    <row r="116" spans="6:23">
      <c r="F116" s="58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62" t="s">
        <v>76</v>
      </c>
      <c r="S116" s="59"/>
      <c r="T116" s="59">
        <v>103</v>
      </c>
      <c r="U116" s="62" t="s">
        <v>62</v>
      </c>
      <c r="V116" s="59">
        <v>103</v>
      </c>
      <c r="W116" s="67" t="s">
        <v>63</v>
      </c>
    </row>
    <row r="117" spans="6:23">
      <c r="F117" s="58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62" t="s">
        <v>76</v>
      </c>
      <c r="S117" s="59"/>
      <c r="T117" s="59">
        <v>104</v>
      </c>
      <c r="U117" s="62" t="s">
        <v>62</v>
      </c>
      <c r="V117" s="59">
        <v>104</v>
      </c>
      <c r="W117" s="67" t="s">
        <v>63</v>
      </c>
    </row>
    <row r="118" spans="6:23">
      <c r="F118" s="58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62" t="s">
        <v>76</v>
      </c>
      <c r="S118" s="59"/>
      <c r="T118" s="59">
        <v>105</v>
      </c>
      <c r="U118" s="62" t="s">
        <v>62</v>
      </c>
      <c r="V118" s="59">
        <v>105</v>
      </c>
      <c r="W118" s="67" t="s">
        <v>63</v>
      </c>
    </row>
    <row r="119" spans="6:23">
      <c r="F119" s="58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62" t="s">
        <v>76</v>
      </c>
      <c r="S119" s="59"/>
      <c r="T119" s="59">
        <v>106</v>
      </c>
      <c r="U119" s="62" t="s">
        <v>62</v>
      </c>
      <c r="V119" s="59">
        <v>106</v>
      </c>
      <c r="W119" s="67" t="s">
        <v>63</v>
      </c>
    </row>
    <row r="120" spans="6:23">
      <c r="F120" s="60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8" t="s">
        <v>76</v>
      </c>
      <c r="S120" s="61"/>
      <c r="T120" s="61">
        <v>107</v>
      </c>
      <c r="U120" s="68" t="s">
        <v>62</v>
      </c>
      <c r="V120" s="61">
        <v>107</v>
      </c>
      <c r="W120" s="69" t="s">
        <v>63</v>
      </c>
    </row>
  </sheetData>
  <mergeCells count="4">
    <mergeCell ref="C11:E11"/>
    <mergeCell ref="G11:I11"/>
    <mergeCell ref="D33:E33"/>
    <mergeCell ref="D34:E34"/>
  </mergeCells>
  <conditionalFormatting sqref="B15:AF30">
    <cfRule type="expression" dxfId="1" priority="1">
      <formula>AND(($A15=$C$11),(B$14=$G$11))</formula>
    </cfRule>
    <cfRule type="expression" dxfId="2" priority="2">
      <formula>OR(($A15=$C$11),(B$14=$G$11))</formula>
    </cfRule>
  </conditionalFormatting>
  <dataValidations count="2">
    <dataValidation type="list" allowBlank="1" showInputMessage="1" showErrorMessage="1" sqref="C11:E11 C12:E12">
      <formula1>$A$15:$A$30</formula1>
    </dataValidation>
    <dataValidation type="list" allowBlank="1" showInputMessage="1" showErrorMessage="1" sqref="G11:I11 G12:I12">
      <formula1>$B$14:$AF$14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7170" r:id="rId3" name="ComboBox1">
          <controlPr defaultSize="0" r:id="rId4" linkedCell="A96" listFillRange="A78:A93">
            <anchor moveWithCells="1">
              <from>
                <xdr:col>20</xdr:col>
                <xdr:colOff>469900</xdr:colOff>
                <xdr:row>95</xdr:row>
                <xdr:rowOff>124460</xdr:rowOff>
              </from>
              <to>
                <xdr:col>22</xdr:col>
                <xdr:colOff>250190</xdr:colOff>
                <xdr:row>96</xdr:row>
                <xdr:rowOff>208915</xdr:rowOff>
              </to>
            </anchor>
          </controlPr>
        </control>
      </mc:Choice>
      <mc:Fallback>
        <control shapeId="7170" r:id="rId3" name="ComboBox1"/>
      </mc:Fallback>
    </mc:AlternateContent>
    <mc:AlternateContent xmlns:mc="http://schemas.openxmlformats.org/markup-compatibility/2006">
      <mc:Choice Requires="x14">
        <control shapeId="7169" r:id="rId5" name="ToggleButton1">
          <controlPr defaultSize="0" r:id="rId6">
            <anchor moveWithCells="1">
              <from>
                <xdr:col>0</xdr:col>
                <xdr:colOff>85725</xdr:colOff>
                <xdr:row>7</xdr:row>
                <xdr:rowOff>36195</xdr:rowOff>
              </from>
              <to>
                <xdr:col>2</xdr:col>
                <xdr:colOff>153035</xdr:colOff>
                <xdr:row>8</xdr:row>
                <xdr:rowOff>160655</xdr:rowOff>
              </to>
            </anchor>
          </controlPr>
        </control>
      </mc:Choice>
      <mc:Fallback>
        <control shapeId="7169" r:id="rId5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Q45"/>
  <sheetViews>
    <sheetView workbookViewId="0">
      <selection activeCell="A1" sqref="A1"/>
    </sheetView>
  </sheetViews>
  <sheetFormatPr defaultColWidth="9" defaultRowHeight="13.5"/>
  <cols>
    <col min="1" max="12" width="9" style="8"/>
    <col min="13" max="13" width="62.625" style="8" customWidth="1"/>
    <col min="14" max="16384" width="9" style="8"/>
  </cols>
  <sheetData>
    <row r="1" spans="2:3">
      <c r="B1" s="8" t="str">
        <f>CHAR(ROW(A1)+64)</f>
        <v>A</v>
      </c>
      <c r="C1" s="8" t="str">
        <f t="shared" ref="C1:C26" si="0">CHAR(ROW(B1)+64)</f>
        <v>A</v>
      </c>
    </row>
    <row r="2" spans="2:13">
      <c r="B2" s="8" t="str">
        <f t="shared" ref="B2:B52" si="1">CHAR(ROW(A2)+64)</f>
        <v>B</v>
      </c>
      <c r="C2" s="8" t="str">
        <f t="shared" si="0"/>
        <v>B</v>
      </c>
      <c r="E2" s="8" t="str">
        <f>_xlfn.CONCAT(B2,10)</f>
        <v>B10</v>
      </c>
      <c r="F2" s="8" t="str">
        <f>_xlfn.CONCAT("=(",E2,"+A8)","/F8")</f>
        <v>=(B10+A8)/F8</v>
      </c>
      <c r="I2" s="8">
        <v>0</v>
      </c>
      <c r="J2" s="8">
        <v>0</v>
      </c>
      <c r="M2" s="8" t="s">
        <v>77</v>
      </c>
    </row>
    <row r="3" spans="2:10">
      <c r="B3" s="8" t="str">
        <f t="shared" si="1"/>
        <v>C</v>
      </c>
      <c r="C3" s="8" t="str">
        <f t="shared" si="0"/>
        <v>C</v>
      </c>
      <c r="E3" s="8" t="str">
        <f t="shared" ref="E3:E26" si="2">_xlfn.CONCAT(B3,10)</f>
        <v>C10</v>
      </c>
      <c r="F3" s="8" t="str">
        <f t="shared" ref="F3:F32" si="3">_xlfn.CONCAT("=(",E3,"+A8)","/F8")</f>
        <v>=(C10+A8)/F8</v>
      </c>
      <c r="I3" s="8">
        <v>20</v>
      </c>
      <c r="J3" s="8">
        <v>0</v>
      </c>
    </row>
    <row r="4" spans="2:15">
      <c r="B4" s="8" t="str">
        <f t="shared" si="1"/>
        <v>D</v>
      </c>
      <c r="C4" s="8" t="str">
        <f t="shared" si="0"/>
        <v>D</v>
      </c>
      <c r="E4" s="8" t="str">
        <f t="shared" si="2"/>
        <v>D10</v>
      </c>
      <c r="F4" s="8" t="str">
        <f t="shared" si="3"/>
        <v>=(D10+A8)/F8</v>
      </c>
      <c r="I4" s="8">
        <v>40</v>
      </c>
      <c r="J4" s="8">
        <v>0</v>
      </c>
      <c r="M4" s="8" t="s">
        <v>78</v>
      </c>
      <c r="N4" s="8" t="s">
        <v>79</v>
      </c>
      <c r="O4" s="8" t="s">
        <v>80</v>
      </c>
    </row>
    <row r="5" spans="2:15">
      <c r="B5" s="8" t="str">
        <f t="shared" si="1"/>
        <v>E</v>
      </c>
      <c r="C5" s="8" t="str">
        <f t="shared" si="0"/>
        <v>E</v>
      </c>
      <c r="E5" s="8" t="str">
        <f t="shared" si="2"/>
        <v>E10</v>
      </c>
      <c r="F5" s="8" t="str">
        <f t="shared" si="3"/>
        <v>=(E10+A8)/F8</v>
      </c>
      <c r="I5" s="8">
        <v>60</v>
      </c>
      <c r="J5" s="8">
        <v>0</v>
      </c>
      <c r="M5" s="8" t="s">
        <v>78</v>
      </c>
      <c r="N5" s="8" t="s">
        <v>81</v>
      </c>
      <c r="O5" s="8" t="s">
        <v>80</v>
      </c>
    </row>
    <row r="6" spans="2:15">
      <c r="B6" s="8" t="str">
        <f t="shared" si="1"/>
        <v>F</v>
      </c>
      <c r="C6" s="8" t="str">
        <f t="shared" si="0"/>
        <v>F</v>
      </c>
      <c r="E6" s="8" t="str">
        <f t="shared" si="2"/>
        <v>F10</v>
      </c>
      <c r="F6" s="8" t="str">
        <f t="shared" si="3"/>
        <v>=(F10+A8)/F8</v>
      </c>
      <c r="I6" s="8">
        <v>80</v>
      </c>
      <c r="J6" s="8">
        <v>0</v>
      </c>
      <c r="M6" s="8" t="s">
        <v>78</v>
      </c>
      <c r="N6" s="8" t="s">
        <v>82</v>
      </c>
      <c r="O6" s="8" t="s">
        <v>80</v>
      </c>
    </row>
    <row r="7" spans="2:15">
      <c r="B7" s="8" t="str">
        <f t="shared" si="1"/>
        <v>G</v>
      </c>
      <c r="C7" s="8" t="str">
        <f t="shared" si="0"/>
        <v>G</v>
      </c>
      <c r="E7" s="8" t="str">
        <f t="shared" si="2"/>
        <v>G10</v>
      </c>
      <c r="F7" s="8" t="str">
        <f t="shared" si="3"/>
        <v>=(G10+A8)/F8</v>
      </c>
      <c r="I7" s="8">
        <v>0</v>
      </c>
      <c r="J7" s="8">
        <v>0</v>
      </c>
      <c r="M7" s="8" t="s">
        <v>78</v>
      </c>
      <c r="N7" s="8" t="s">
        <v>83</v>
      </c>
      <c r="O7" s="8" t="s">
        <v>80</v>
      </c>
    </row>
    <row r="8" spans="2:15">
      <c r="B8" s="8" t="str">
        <f t="shared" si="1"/>
        <v>H</v>
      </c>
      <c r="C8" s="8" t="str">
        <f t="shared" si="0"/>
        <v>H</v>
      </c>
      <c r="E8" s="8" t="str">
        <f t="shared" si="2"/>
        <v>H10</v>
      </c>
      <c r="F8" s="8" t="str">
        <f t="shared" si="3"/>
        <v>=(H10+A8)/F8</v>
      </c>
      <c r="I8" s="8">
        <v>20</v>
      </c>
      <c r="J8" s="8">
        <v>0</v>
      </c>
      <c r="M8" s="8" t="s">
        <v>78</v>
      </c>
      <c r="N8" s="8" t="s">
        <v>84</v>
      </c>
      <c r="O8" s="8" t="s">
        <v>80</v>
      </c>
    </row>
    <row r="9" spans="2:15">
      <c r="B9" s="8" t="str">
        <f t="shared" si="1"/>
        <v>I</v>
      </c>
      <c r="C9" s="8" t="str">
        <f t="shared" si="0"/>
        <v>I</v>
      </c>
      <c r="E9" s="8" t="str">
        <f t="shared" si="2"/>
        <v>I10</v>
      </c>
      <c r="F9" s="8" t="str">
        <f t="shared" si="3"/>
        <v>=(I10+A8)/F8</v>
      </c>
      <c r="I9" s="8">
        <v>40</v>
      </c>
      <c r="J9" s="8">
        <v>0</v>
      </c>
      <c r="M9" s="8" t="s">
        <v>78</v>
      </c>
      <c r="N9" s="8" t="s">
        <v>85</v>
      </c>
      <c r="O9" s="8" t="s">
        <v>80</v>
      </c>
    </row>
    <row r="10" spans="2:15">
      <c r="B10" s="8" t="str">
        <f t="shared" si="1"/>
        <v>J</v>
      </c>
      <c r="C10" s="8" t="str">
        <f t="shared" si="0"/>
        <v>J</v>
      </c>
      <c r="E10" s="8" t="str">
        <f t="shared" si="2"/>
        <v>J10</v>
      </c>
      <c r="F10" s="8" t="str">
        <f t="shared" si="3"/>
        <v>=(J10+A8)/F8</v>
      </c>
      <c r="I10" s="8">
        <v>60</v>
      </c>
      <c r="J10" s="8">
        <v>0</v>
      </c>
      <c r="M10" s="8" t="s">
        <v>78</v>
      </c>
      <c r="N10" s="8" t="s">
        <v>86</v>
      </c>
      <c r="O10" s="8" t="s">
        <v>80</v>
      </c>
    </row>
    <row r="11" spans="2:15">
      <c r="B11" s="8" t="str">
        <f t="shared" si="1"/>
        <v>K</v>
      </c>
      <c r="C11" s="8" t="str">
        <f t="shared" si="0"/>
        <v>K</v>
      </c>
      <c r="E11" s="8" t="str">
        <f t="shared" si="2"/>
        <v>K10</v>
      </c>
      <c r="F11" s="8" t="str">
        <f t="shared" si="3"/>
        <v>=(K10+A8)/F8</v>
      </c>
      <c r="I11" s="8">
        <v>80</v>
      </c>
      <c r="J11" s="8">
        <v>0</v>
      </c>
      <c r="M11" s="8" t="s">
        <v>78</v>
      </c>
      <c r="N11" s="8" t="s">
        <v>87</v>
      </c>
      <c r="O11" s="8" t="s">
        <v>80</v>
      </c>
    </row>
    <row r="12" spans="2:15">
      <c r="B12" s="8" t="str">
        <f t="shared" si="1"/>
        <v>L</v>
      </c>
      <c r="C12" s="8" t="str">
        <f t="shared" si="0"/>
        <v>L</v>
      </c>
      <c r="E12" s="8" t="str">
        <f t="shared" si="2"/>
        <v>L10</v>
      </c>
      <c r="F12" s="8" t="str">
        <f t="shared" si="3"/>
        <v>=(L10+A8)/F8</v>
      </c>
      <c r="I12" s="8">
        <v>0</v>
      </c>
      <c r="J12" s="8">
        <v>0</v>
      </c>
      <c r="M12" s="8" t="s">
        <v>78</v>
      </c>
      <c r="N12" s="8" t="s">
        <v>88</v>
      </c>
      <c r="O12" s="8" t="s">
        <v>80</v>
      </c>
    </row>
    <row r="13" spans="2:15">
      <c r="B13" s="8" t="str">
        <f t="shared" si="1"/>
        <v>M</v>
      </c>
      <c r="C13" s="8" t="str">
        <f t="shared" si="0"/>
        <v>M</v>
      </c>
      <c r="E13" s="8" t="str">
        <f t="shared" si="2"/>
        <v>M10</v>
      </c>
      <c r="F13" s="8" t="str">
        <f t="shared" si="3"/>
        <v>=(M10+A8)/F8</v>
      </c>
      <c r="I13" s="8">
        <v>20</v>
      </c>
      <c r="J13" s="8">
        <v>0</v>
      </c>
      <c r="M13" s="8" t="s">
        <v>78</v>
      </c>
      <c r="N13" s="8" t="s">
        <v>89</v>
      </c>
      <c r="O13" s="8" t="s">
        <v>80</v>
      </c>
    </row>
    <row r="14" spans="2:15">
      <c r="B14" s="8" t="str">
        <f t="shared" si="1"/>
        <v>N</v>
      </c>
      <c r="C14" s="8" t="str">
        <f t="shared" si="0"/>
        <v>N</v>
      </c>
      <c r="E14" s="8" t="str">
        <f t="shared" si="2"/>
        <v>N10</v>
      </c>
      <c r="F14" s="8" t="str">
        <f t="shared" si="3"/>
        <v>=(N10+A8)/F8</v>
      </c>
      <c r="I14" s="8">
        <v>40</v>
      </c>
      <c r="J14" s="8">
        <v>0</v>
      </c>
      <c r="M14" s="8" t="s">
        <v>78</v>
      </c>
      <c r="N14" s="8" t="s">
        <v>90</v>
      </c>
      <c r="O14" s="8" t="s">
        <v>80</v>
      </c>
    </row>
    <row r="15" spans="2:15">
      <c r="B15" s="8" t="str">
        <f t="shared" si="1"/>
        <v>O</v>
      </c>
      <c r="C15" s="8" t="str">
        <f t="shared" si="0"/>
        <v>O</v>
      </c>
      <c r="E15" s="8" t="str">
        <f t="shared" si="2"/>
        <v>O10</v>
      </c>
      <c r="F15" s="8" t="str">
        <f t="shared" si="3"/>
        <v>=(O10+A8)/F8</v>
      </c>
      <c r="I15" s="8">
        <v>60</v>
      </c>
      <c r="J15" s="8">
        <v>0</v>
      </c>
      <c r="M15" s="8" t="s">
        <v>78</v>
      </c>
      <c r="N15" s="8" t="s">
        <v>91</v>
      </c>
      <c r="O15" s="8" t="s">
        <v>80</v>
      </c>
    </row>
    <row r="16" spans="2:10">
      <c r="B16" s="8" t="str">
        <f t="shared" si="1"/>
        <v>P</v>
      </c>
      <c r="C16" s="8" t="str">
        <f t="shared" si="0"/>
        <v>P</v>
      </c>
      <c r="E16" s="8" t="str">
        <f t="shared" si="2"/>
        <v>P10</v>
      </c>
      <c r="F16" s="8" t="str">
        <f t="shared" si="3"/>
        <v>=(P10+A8)/F8</v>
      </c>
      <c r="I16" s="8">
        <v>80</v>
      </c>
      <c r="J16" s="8">
        <v>0</v>
      </c>
    </row>
    <row r="17" spans="2:13">
      <c r="B17" s="8" t="str">
        <f t="shared" si="1"/>
        <v>Q</v>
      </c>
      <c r="C17" s="8" t="str">
        <f t="shared" si="0"/>
        <v>Q</v>
      </c>
      <c r="E17" s="8" t="str">
        <f t="shared" si="2"/>
        <v>Q10</v>
      </c>
      <c r="F17" s="8" t="str">
        <f t="shared" si="3"/>
        <v>=(Q10+A8)/F8</v>
      </c>
      <c r="I17" s="8">
        <v>0</v>
      </c>
      <c r="J17" s="8">
        <v>0</v>
      </c>
      <c r="M17" s="8" t="s">
        <v>92</v>
      </c>
    </row>
    <row r="18" spans="2:10">
      <c r="B18" s="8" t="str">
        <f t="shared" si="1"/>
        <v>R</v>
      </c>
      <c r="C18" s="8" t="str">
        <f t="shared" si="0"/>
        <v>R</v>
      </c>
      <c r="E18" s="8" t="str">
        <f t="shared" si="2"/>
        <v>R10</v>
      </c>
      <c r="F18" s="8" t="str">
        <f t="shared" si="3"/>
        <v>=(R10+A8)/F8</v>
      </c>
      <c r="I18" s="8">
        <v>20</v>
      </c>
      <c r="J18" s="8">
        <v>0</v>
      </c>
    </row>
    <row r="19" spans="2:17">
      <c r="B19" s="8" t="str">
        <f t="shared" si="1"/>
        <v>S</v>
      </c>
      <c r="C19" s="8" t="str">
        <f t="shared" si="0"/>
        <v>S</v>
      </c>
      <c r="E19" s="8" t="str">
        <f t="shared" si="2"/>
        <v>S10</v>
      </c>
      <c r="F19" s="8" t="str">
        <f t="shared" si="3"/>
        <v>=(S10+A8)/F8</v>
      </c>
      <c r="I19" s="8">
        <v>40</v>
      </c>
      <c r="J19" s="8">
        <v>0</v>
      </c>
      <c r="M19" s="8" t="s">
        <v>93</v>
      </c>
      <c r="N19" s="8">
        <v>94</v>
      </c>
      <c r="O19" s="8" t="s">
        <v>94</v>
      </c>
      <c r="P19" s="8">
        <v>94</v>
      </c>
      <c r="Q19" s="8" t="s">
        <v>63</v>
      </c>
    </row>
    <row r="20" spans="2:17">
      <c r="B20" s="8" t="str">
        <f t="shared" si="1"/>
        <v>T</v>
      </c>
      <c r="C20" s="8" t="str">
        <f t="shared" si="0"/>
        <v>T</v>
      </c>
      <c r="E20" s="8" t="str">
        <f t="shared" si="2"/>
        <v>T10</v>
      </c>
      <c r="F20" s="8" t="str">
        <f t="shared" si="3"/>
        <v>=(T10+A8)/F8</v>
      </c>
      <c r="I20" s="8">
        <v>60</v>
      </c>
      <c r="J20" s="8">
        <v>0</v>
      </c>
      <c r="M20" s="8" t="s">
        <v>93</v>
      </c>
      <c r="N20" s="8">
        <v>95</v>
      </c>
      <c r="O20" s="8" t="s">
        <v>94</v>
      </c>
      <c r="P20" s="8">
        <v>95</v>
      </c>
      <c r="Q20" s="8" t="s">
        <v>63</v>
      </c>
    </row>
    <row r="21" spans="2:17">
      <c r="B21" s="8" t="str">
        <f t="shared" si="1"/>
        <v>U</v>
      </c>
      <c r="C21" s="8" t="str">
        <f t="shared" si="0"/>
        <v>U</v>
      </c>
      <c r="E21" s="8" t="str">
        <f t="shared" si="2"/>
        <v>U10</v>
      </c>
      <c r="F21" s="8" t="str">
        <f t="shared" si="3"/>
        <v>=(U10+A8)/F8</v>
      </c>
      <c r="I21" s="8">
        <v>80</v>
      </c>
      <c r="J21" s="8">
        <v>0</v>
      </c>
      <c r="M21" s="8" t="s">
        <v>93</v>
      </c>
      <c r="N21" s="8">
        <v>96</v>
      </c>
      <c r="O21" s="8" t="s">
        <v>94</v>
      </c>
      <c r="P21" s="8">
        <v>96</v>
      </c>
      <c r="Q21" s="8" t="s">
        <v>63</v>
      </c>
    </row>
    <row r="22" spans="2:17">
      <c r="B22" s="8" t="str">
        <f t="shared" si="1"/>
        <v>V</v>
      </c>
      <c r="C22" s="8" t="str">
        <f t="shared" si="0"/>
        <v>V</v>
      </c>
      <c r="E22" s="8" t="str">
        <f t="shared" si="2"/>
        <v>V10</v>
      </c>
      <c r="F22" s="8" t="str">
        <f t="shared" si="3"/>
        <v>=(V10+A8)/F8</v>
      </c>
      <c r="M22" s="8" t="s">
        <v>93</v>
      </c>
      <c r="N22" s="8">
        <v>97</v>
      </c>
      <c r="O22" s="8" t="s">
        <v>94</v>
      </c>
      <c r="P22" s="8">
        <v>97</v>
      </c>
      <c r="Q22" s="8" t="s">
        <v>63</v>
      </c>
    </row>
    <row r="23" spans="2:17">
      <c r="B23" s="8" t="str">
        <f t="shared" si="1"/>
        <v>W</v>
      </c>
      <c r="C23" s="8" t="str">
        <f t="shared" si="0"/>
        <v>W</v>
      </c>
      <c r="E23" s="8" t="str">
        <f t="shared" si="2"/>
        <v>W10</v>
      </c>
      <c r="F23" s="8" t="str">
        <f t="shared" si="3"/>
        <v>=(W10+A8)/F8</v>
      </c>
      <c r="M23" s="8" t="s">
        <v>93</v>
      </c>
      <c r="N23" s="8">
        <v>98</v>
      </c>
      <c r="O23" s="8" t="s">
        <v>94</v>
      </c>
      <c r="P23" s="8">
        <v>98</v>
      </c>
      <c r="Q23" s="8" t="s">
        <v>63</v>
      </c>
    </row>
    <row r="24" spans="2:17">
      <c r="B24" s="8" t="str">
        <f t="shared" si="1"/>
        <v>X</v>
      </c>
      <c r="C24" s="8" t="str">
        <f t="shared" si="0"/>
        <v>X</v>
      </c>
      <c r="E24" s="8" t="str">
        <f t="shared" si="2"/>
        <v>X10</v>
      </c>
      <c r="F24" s="8" t="str">
        <f t="shared" si="3"/>
        <v>=(X10+A8)/F8</v>
      </c>
      <c r="M24" s="8" t="s">
        <v>93</v>
      </c>
      <c r="N24" s="8">
        <v>99</v>
      </c>
      <c r="O24" s="8" t="s">
        <v>94</v>
      </c>
      <c r="P24" s="8">
        <v>99</v>
      </c>
      <c r="Q24" s="8" t="s">
        <v>63</v>
      </c>
    </row>
    <row r="25" spans="2:17">
      <c r="B25" s="8" t="str">
        <f t="shared" si="1"/>
        <v>Y</v>
      </c>
      <c r="C25" s="8" t="str">
        <f t="shared" si="0"/>
        <v>Y</v>
      </c>
      <c r="E25" s="8" t="str">
        <f t="shared" si="2"/>
        <v>Y10</v>
      </c>
      <c r="F25" s="8" t="str">
        <f t="shared" si="3"/>
        <v>=(Y10+A8)/F8</v>
      </c>
      <c r="M25" s="8" t="s">
        <v>93</v>
      </c>
      <c r="N25" s="8">
        <v>100</v>
      </c>
      <c r="O25" s="8" t="s">
        <v>94</v>
      </c>
      <c r="P25" s="8">
        <v>100</v>
      </c>
      <c r="Q25" s="8" t="s">
        <v>63</v>
      </c>
    </row>
    <row r="26" spans="2:17">
      <c r="B26" s="8" t="str">
        <f t="shared" si="1"/>
        <v>Z</v>
      </c>
      <c r="C26" s="8" t="str">
        <f t="shared" si="0"/>
        <v>Z</v>
      </c>
      <c r="E26" s="8" t="str">
        <f t="shared" si="2"/>
        <v>Z10</v>
      </c>
      <c r="F26" s="8" t="str">
        <f t="shared" si="3"/>
        <v>=(Z10+A8)/F8</v>
      </c>
      <c r="M26" s="8" t="s">
        <v>93</v>
      </c>
      <c r="N26" s="8">
        <v>101</v>
      </c>
      <c r="O26" s="8" t="s">
        <v>94</v>
      </c>
      <c r="P26" s="8">
        <v>101</v>
      </c>
      <c r="Q26" s="8" t="s">
        <v>63</v>
      </c>
    </row>
    <row r="27" spans="5:17">
      <c r="E27" s="8" t="str">
        <f>_xlfn.CONCAT(B1,C1,10)</f>
        <v>AA10</v>
      </c>
      <c r="F27" s="8" t="str">
        <f t="shared" si="3"/>
        <v>=(AA10+A8)/F8</v>
      </c>
      <c r="M27" s="8" t="s">
        <v>93</v>
      </c>
      <c r="N27" s="8">
        <v>102</v>
      </c>
      <c r="O27" s="8" t="s">
        <v>94</v>
      </c>
      <c r="P27" s="8">
        <v>102</v>
      </c>
      <c r="Q27" s="8" t="s">
        <v>63</v>
      </c>
    </row>
    <row r="28" spans="5:17">
      <c r="E28" s="8" t="str">
        <f>_xlfn.CONCAT(B1,C2,10)</f>
        <v>AB10</v>
      </c>
      <c r="F28" s="8" t="str">
        <f t="shared" si="3"/>
        <v>=(AB10+A8)/F8</v>
      </c>
      <c r="M28" s="8" t="s">
        <v>93</v>
      </c>
      <c r="N28" s="8">
        <v>103</v>
      </c>
      <c r="O28" s="8" t="s">
        <v>94</v>
      </c>
      <c r="P28" s="8">
        <v>103</v>
      </c>
      <c r="Q28" s="8" t="s">
        <v>63</v>
      </c>
    </row>
    <row r="29" spans="5:17">
      <c r="E29" s="8" t="str">
        <f>_xlfn.CONCAT(B1,C3,10)</f>
        <v>AC10</v>
      </c>
      <c r="F29" s="8" t="str">
        <f t="shared" si="3"/>
        <v>=(AC10+A8)/F8</v>
      </c>
      <c r="M29" s="8" t="s">
        <v>93</v>
      </c>
      <c r="N29" s="8">
        <v>104</v>
      </c>
      <c r="O29" s="8" t="s">
        <v>94</v>
      </c>
      <c r="P29" s="8">
        <v>104</v>
      </c>
      <c r="Q29" s="8" t="s">
        <v>63</v>
      </c>
    </row>
    <row r="30" spans="5:17">
      <c r="E30" s="8" t="str">
        <f>_xlfn.CONCAT(B1,C4,10)</f>
        <v>AD10</v>
      </c>
      <c r="F30" s="8" t="str">
        <f t="shared" si="3"/>
        <v>=(AD10+A8)/F8</v>
      </c>
      <c r="M30" s="8" t="s">
        <v>93</v>
      </c>
      <c r="N30" s="8">
        <v>105</v>
      </c>
      <c r="O30" s="8" t="s">
        <v>94</v>
      </c>
      <c r="P30" s="8">
        <v>105</v>
      </c>
      <c r="Q30" s="8" t="s">
        <v>63</v>
      </c>
    </row>
    <row r="31" spans="5:6">
      <c r="E31" s="8" t="str">
        <f>_xlfn.CONCAT(B1,C5,10)</f>
        <v>AE10</v>
      </c>
      <c r="F31" s="8" t="str">
        <f t="shared" si="3"/>
        <v>=(AE10+A8)/F8</v>
      </c>
    </row>
    <row r="32" spans="5:13">
      <c r="E32" s="8" t="str">
        <f>_xlfn.CONCAT(B1,C6,10)</f>
        <v>AF10</v>
      </c>
      <c r="F32" s="8" t="str">
        <f t="shared" si="3"/>
        <v>=(AF10+A8)/F8</v>
      </c>
      <c r="M32" s="8" t="s">
        <v>95</v>
      </c>
    </row>
    <row r="34" spans="13:17">
      <c r="M34" s="8" t="s">
        <v>96</v>
      </c>
      <c r="N34" s="8">
        <v>94</v>
      </c>
      <c r="O34" s="8" t="s">
        <v>94</v>
      </c>
      <c r="P34" s="8">
        <v>94</v>
      </c>
      <c r="Q34" s="8" t="s">
        <v>63</v>
      </c>
    </row>
    <row r="35" spans="13:17">
      <c r="M35" s="8" t="s">
        <v>96</v>
      </c>
      <c r="N35" s="8">
        <v>95</v>
      </c>
      <c r="O35" s="8" t="s">
        <v>94</v>
      </c>
      <c r="P35" s="8">
        <v>95</v>
      </c>
      <c r="Q35" s="8" t="s">
        <v>63</v>
      </c>
    </row>
    <row r="36" spans="13:17">
      <c r="M36" s="8" t="s">
        <v>96</v>
      </c>
      <c r="N36" s="8">
        <v>96</v>
      </c>
      <c r="O36" s="8" t="s">
        <v>94</v>
      </c>
      <c r="P36" s="8">
        <v>96</v>
      </c>
      <c r="Q36" s="8" t="s">
        <v>63</v>
      </c>
    </row>
    <row r="37" spans="13:17">
      <c r="M37" s="8" t="s">
        <v>96</v>
      </c>
      <c r="N37" s="8">
        <v>97</v>
      </c>
      <c r="O37" s="8" t="s">
        <v>94</v>
      </c>
      <c r="P37" s="8">
        <v>97</v>
      </c>
      <c r="Q37" s="8" t="s">
        <v>63</v>
      </c>
    </row>
    <row r="38" spans="13:17">
      <c r="M38" s="8" t="s">
        <v>96</v>
      </c>
      <c r="N38" s="8">
        <v>98</v>
      </c>
      <c r="O38" s="8" t="s">
        <v>94</v>
      </c>
      <c r="P38" s="8">
        <v>98</v>
      </c>
      <c r="Q38" s="8" t="s">
        <v>63</v>
      </c>
    </row>
    <row r="39" spans="13:17">
      <c r="M39" s="8" t="s">
        <v>96</v>
      </c>
      <c r="N39" s="8">
        <v>99</v>
      </c>
      <c r="O39" s="8" t="s">
        <v>94</v>
      </c>
      <c r="P39" s="8">
        <v>99</v>
      </c>
      <c r="Q39" s="8" t="s">
        <v>63</v>
      </c>
    </row>
    <row r="40" spans="13:17">
      <c r="M40" s="8" t="s">
        <v>96</v>
      </c>
      <c r="N40" s="8">
        <v>100</v>
      </c>
      <c r="O40" s="8" t="s">
        <v>94</v>
      </c>
      <c r="P40" s="8">
        <v>100</v>
      </c>
      <c r="Q40" s="8" t="s">
        <v>63</v>
      </c>
    </row>
    <row r="41" spans="13:17">
      <c r="M41" s="8" t="s">
        <v>96</v>
      </c>
      <c r="N41" s="8">
        <v>101</v>
      </c>
      <c r="O41" s="8" t="s">
        <v>94</v>
      </c>
      <c r="P41" s="8">
        <v>101</v>
      </c>
      <c r="Q41" s="8" t="s">
        <v>63</v>
      </c>
    </row>
    <row r="42" spans="13:17">
      <c r="M42" s="8" t="s">
        <v>96</v>
      </c>
      <c r="N42" s="8">
        <v>102</v>
      </c>
      <c r="O42" s="8" t="s">
        <v>94</v>
      </c>
      <c r="P42" s="8">
        <v>102</v>
      </c>
      <c r="Q42" s="8" t="s">
        <v>63</v>
      </c>
    </row>
    <row r="43" spans="13:17">
      <c r="M43" s="8" t="s">
        <v>96</v>
      </c>
      <c r="N43" s="8">
        <v>103</v>
      </c>
      <c r="O43" s="8" t="s">
        <v>94</v>
      </c>
      <c r="P43" s="8">
        <v>103</v>
      </c>
      <c r="Q43" s="8" t="s">
        <v>63</v>
      </c>
    </row>
    <row r="44" spans="13:17">
      <c r="M44" s="8" t="s">
        <v>96</v>
      </c>
      <c r="N44" s="8">
        <v>104</v>
      </c>
      <c r="O44" s="8" t="s">
        <v>94</v>
      </c>
      <c r="P44" s="8">
        <v>104</v>
      </c>
      <c r="Q44" s="8" t="s">
        <v>63</v>
      </c>
    </row>
    <row r="45" spans="13:17">
      <c r="M45" s="8" t="s">
        <v>96</v>
      </c>
      <c r="N45" s="8">
        <v>105</v>
      </c>
      <c r="O45" s="8" t="s">
        <v>94</v>
      </c>
      <c r="P45" s="8">
        <v>105</v>
      </c>
      <c r="Q45" s="8" t="s">
        <v>63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E575"/>
  <sheetViews>
    <sheetView workbookViewId="0">
      <selection activeCell="A1" sqref="A1"/>
    </sheetView>
  </sheetViews>
  <sheetFormatPr defaultColWidth="9" defaultRowHeight="13.5"/>
  <cols>
    <col min="1" max="1" width="4.375" customWidth="1"/>
    <col min="2" max="4" width="3.25" customWidth="1"/>
    <col min="5" max="5" width="4.375" customWidth="1"/>
    <col min="6" max="7" width="3.25" customWidth="1"/>
    <col min="8" max="8" width="4.375" customWidth="1"/>
    <col min="9" max="10" width="3.25" customWidth="1"/>
    <col min="11" max="11" width="2.375" customWidth="1"/>
    <col min="12" max="12" width="3.25" customWidth="1"/>
    <col min="13" max="13" width="5.125" customWidth="1"/>
    <col min="14" max="564" width="3.25" customWidth="1"/>
  </cols>
  <sheetData>
    <row r="1" s="1" customFormat="1" spans="1:2">
      <c r="A1" s="4"/>
      <c r="B1" s="4"/>
    </row>
    <row r="2" s="2" customFormat="1" spans="1:2">
      <c r="A2" s="5"/>
      <c r="B2" s="5"/>
    </row>
    <row r="3" s="2" customFormat="1" spans="1:2">
      <c r="A3" s="5"/>
      <c r="B3" s="5"/>
    </row>
    <row r="4" s="2" customFormat="1" spans="1:2">
      <c r="A4" s="5"/>
      <c r="B4" s="5"/>
    </row>
    <row r="5" s="2" customFormat="1" spans="1:2">
      <c r="A5" s="5"/>
      <c r="B5" s="5"/>
    </row>
    <row r="6" s="2" customFormat="1" spans="1:2">
      <c r="A6" s="5"/>
      <c r="B6" s="5"/>
    </row>
    <row r="7" s="3" customFormat="1" ht="14.25"/>
    <row r="8" s="1" customFormat="1" ht="14.25"/>
    <row r="9" s="3" customFormat="1" ht="14.25"/>
    <row r="10" ht="14.25"/>
    <row r="11" spans="2:2">
      <c r="B11" t="s">
        <v>97</v>
      </c>
    </row>
    <row r="12" spans="1:13">
      <c r="A12">
        <f t="shared" ref="A12:A75" si="0">ROW()-11</f>
        <v>1</v>
      </c>
      <c r="B12" t="s">
        <v>98</v>
      </c>
      <c r="C12">
        <f t="shared" ref="C12:C66" si="1">ROW()-1</f>
        <v>11</v>
      </c>
      <c r="D12" t="s">
        <v>99</v>
      </c>
      <c r="H12">
        <f ca="1" t="shared" ref="H12:H44" si="2">RANDBETWEEN(1,564)</f>
        <v>508</v>
      </c>
      <c r="I12">
        <f ca="1" t="shared" ref="I12:I18" si="3">RANDBETWEEN(1,56)</f>
        <v>40</v>
      </c>
      <c r="K12" t="s">
        <v>100</v>
      </c>
      <c r="L12" t="str">
        <f ca="1">VLOOKUP(H12,A:B,2,FALSE)</f>
        <v>法</v>
      </c>
      <c r="M12" s="6" t="str">
        <f ca="1">VLOOKUP(I12,C:D,2,FALSE)</f>
        <v>承武</v>
      </c>
    </row>
    <row r="13" spans="1:13">
      <c r="A13">
        <f t="shared" si="0"/>
        <v>2</v>
      </c>
      <c r="B13" t="s">
        <v>101</v>
      </c>
      <c r="C13">
        <f t="shared" si="1"/>
        <v>12</v>
      </c>
      <c r="D13" t="s">
        <v>102</v>
      </c>
      <c r="H13">
        <f ca="1" t="shared" si="2"/>
        <v>431</v>
      </c>
      <c r="I13">
        <f ca="1" t="shared" si="3"/>
        <v>18</v>
      </c>
      <c r="K13" t="s">
        <v>100</v>
      </c>
      <c r="L13" t="str">
        <f ca="1">VLOOKUP(H13,A:B,2,FALSE)</f>
        <v>公</v>
      </c>
      <c r="M13" s="6" t="str">
        <f ca="1">VLOOKUP(I13,C:D,2,FALSE)</f>
        <v>镕彪</v>
      </c>
    </row>
    <row r="14" spans="1:13">
      <c r="A14">
        <f t="shared" si="0"/>
        <v>3</v>
      </c>
      <c r="B14" t="s">
        <v>103</v>
      </c>
      <c r="C14">
        <f t="shared" si="1"/>
        <v>13</v>
      </c>
      <c r="D14" t="s">
        <v>104</v>
      </c>
      <c r="H14">
        <f ca="1" t="shared" si="2"/>
        <v>467</v>
      </c>
      <c r="I14">
        <f ca="1" t="shared" si="3"/>
        <v>45</v>
      </c>
      <c r="K14" t="s">
        <v>100</v>
      </c>
      <c r="L14" t="str">
        <f ca="1">VLOOKUP(H14,A:B,2,FALSE)</f>
        <v>闾</v>
      </c>
      <c r="M14" s="6" t="str">
        <f ca="1">VLOOKUP(I14,C:D,2,FALSE)</f>
        <v>睿洋</v>
      </c>
    </row>
    <row r="15" spans="1:13">
      <c r="A15">
        <f t="shared" si="0"/>
        <v>4</v>
      </c>
      <c r="B15" t="s">
        <v>105</v>
      </c>
      <c r="C15">
        <f t="shared" si="1"/>
        <v>14</v>
      </c>
      <c r="D15" t="s">
        <v>106</v>
      </c>
      <c r="H15">
        <f ca="1" t="shared" si="2"/>
        <v>287</v>
      </c>
      <c r="I15">
        <f ca="1" t="shared" si="3"/>
        <v>12</v>
      </c>
      <c r="K15" t="s">
        <v>100</v>
      </c>
      <c r="L15" t="str">
        <f ca="1">VLOOKUP(H15,A:B,2,FALSE)</f>
        <v>苍</v>
      </c>
      <c r="M15" s="6" t="str">
        <f ca="1">VLOOKUP(I15,C:D,2,FALSE)</f>
        <v>钦浩</v>
      </c>
    </row>
    <row r="16" spans="1:31">
      <c r="A16">
        <f t="shared" si="0"/>
        <v>5</v>
      </c>
      <c r="B16" t="s">
        <v>107</v>
      </c>
      <c r="C16">
        <f t="shared" si="1"/>
        <v>15</v>
      </c>
      <c r="D16" t="s">
        <v>108</v>
      </c>
      <c r="H16">
        <f ca="1" t="shared" si="2"/>
        <v>236</v>
      </c>
      <c r="I16">
        <f ca="1" t="shared" si="3"/>
        <v>12</v>
      </c>
      <c r="K16" t="s">
        <v>100</v>
      </c>
      <c r="L16" t="str">
        <f ca="1">VLOOKUP(H16,A:B,2,FALSE)</f>
        <v>仰</v>
      </c>
      <c r="M16" s="6" t="str">
        <f ca="1">VLOOKUP(I16,C:D,2,FALSE)</f>
        <v>钦浩</v>
      </c>
      <c r="AE16" t="s">
        <v>5</v>
      </c>
    </row>
    <row r="17" spans="1:31">
      <c r="A17">
        <f t="shared" si="0"/>
        <v>6</v>
      </c>
      <c r="B17" t="s">
        <v>109</v>
      </c>
      <c r="C17">
        <f t="shared" si="1"/>
        <v>16</v>
      </c>
      <c r="D17" t="s">
        <v>110</v>
      </c>
      <c r="H17">
        <f ca="1" t="shared" si="2"/>
        <v>35</v>
      </c>
      <c r="I17">
        <f ca="1" t="shared" si="3"/>
        <v>26</v>
      </c>
      <c r="K17" t="s">
        <v>100</v>
      </c>
      <c r="L17" t="str">
        <f ca="1">VLOOKUP(H17,A:B,2,FALSE)</f>
        <v>邹</v>
      </c>
      <c r="M17" s="6" t="str">
        <f ca="1">VLOOKUP(I17,C:D,2,FALSE)</f>
        <v>绪亨</v>
      </c>
      <c r="AE17" t="s">
        <v>6</v>
      </c>
    </row>
    <row r="18" spans="1:31">
      <c r="A18">
        <f t="shared" si="0"/>
        <v>7</v>
      </c>
      <c r="B18" t="s">
        <v>111</v>
      </c>
      <c r="C18">
        <f t="shared" si="1"/>
        <v>17</v>
      </c>
      <c r="D18" t="s">
        <v>112</v>
      </c>
      <c r="H18">
        <f ca="1" t="shared" si="2"/>
        <v>188</v>
      </c>
      <c r="I18">
        <f ca="1" t="shared" si="3"/>
        <v>7</v>
      </c>
      <c r="K18" t="s">
        <v>100</v>
      </c>
      <c r="L18" t="str">
        <f ca="1">VLOOKUP(H18,A:B,2,FALSE)</f>
        <v>石</v>
      </c>
      <c r="M18" s="6" t="e">
        <f ca="1">VLOOKUP(I18,C:D,2,FALSE)</f>
        <v>#N/A</v>
      </c>
      <c r="AE18" t="s">
        <v>7</v>
      </c>
    </row>
    <row r="19" spans="1:31">
      <c r="A19">
        <f t="shared" si="0"/>
        <v>8</v>
      </c>
      <c r="B19" t="s">
        <v>113</v>
      </c>
      <c r="C19">
        <f t="shared" si="1"/>
        <v>18</v>
      </c>
      <c r="D19" t="s">
        <v>114</v>
      </c>
      <c r="H19">
        <f ca="1" t="shared" si="2"/>
        <v>44</v>
      </c>
      <c r="I19">
        <f ca="1">RANDBETWEEN(1,55)</f>
        <v>45</v>
      </c>
      <c r="K19" t="s">
        <v>100</v>
      </c>
      <c r="L19" t="str">
        <f ca="1">VLOOKUP(H19,A:B,2,FALSE)</f>
        <v>葛</v>
      </c>
      <c r="M19" s="6" t="str">
        <f ca="1">VLOOKUP(I19,C:D,2,FALSE)</f>
        <v>睿洋</v>
      </c>
      <c r="AE19" t="s">
        <v>2</v>
      </c>
    </row>
    <row r="20" spans="1:31">
      <c r="A20">
        <f t="shared" si="0"/>
        <v>9</v>
      </c>
      <c r="B20" t="s">
        <v>115</v>
      </c>
      <c r="C20">
        <f t="shared" si="1"/>
        <v>19</v>
      </c>
      <c r="D20" t="s">
        <v>116</v>
      </c>
      <c r="H20">
        <f ca="1" t="shared" si="2"/>
        <v>7</v>
      </c>
      <c r="I20">
        <f ca="1" t="shared" ref="I20:I44" si="4">RANDBETWEEN(1,56)</f>
        <v>25</v>
      </c>
      <c r="K20" t="s">
        <v>100</v>
      </c>
      <c r="L20" t="str">
        <f ca="1">VLOOKUP(H20,A:B,2,FALSE)</f>
        <v>郑</v>
      </c>
      <c r="M20" s="6" t="str">
        <f ca="1">VLOOKUP(I20,C:D,2,FALSE)</f>
        <v>士淋</v>
      </c>
      <c r="AE20" t="s">
        <v>8</v>
      </c>
    </row>
    <row r="21" spans="1:31">
      <c r="A21">
        <f t="shared" si="0"/>
        <v>10</v>
      </c>
      <c r="B21" t="s">
        <v>117</v>
      </c>
      <c r="C21">
        <f t="shared" si="1"/>
        <v>20</v>
      </c>
      <c r="D21" t="s">
        <v>118</v>
      </c>
      <c r="H21">
        <f ca="1" t="shared" si="2"/>
        <v>133</v>
      </c>
      <c r="I21">
        <f ca="1" t="shared" si="4"/>
        <v>4</v>
      </c>
      <c r="K21" t="s">
        <v>100</v>
      </c>
      <c r="L21" t="str">
        <f ca="1">VLOOKUP(H21,A:B,2,FALSE)</f>
        <v>席</v>
      </c>
      <c r="M21" s="6" t="e">
        <f ca="1">VLOOKUP(I21,C:D,2,FALSE)</f>
        <v>#N/A</v>
      </c>
      <c r="AE21" t="s">
        <v>9</v>
      </c>
    </row>
    <row r="22" spans="1:31">
      <c r="A22">
        <f t="shared" si="0"/>
        <v>11</v>
      </c>
      <c r="B22" t="s">
        <v>119</v>
      </c>
      <c r="C22">
        <f t="shared" si="1"/>
        <v>21</v>
      </c>
      <c r="D22" t="s">
        <v>120</v>
      </c>
      <c r="H22">
        <f ca="1" t="shared" si="2"/>
        <v>15</v>
      </c>
      <c r="I22">
        <f ca="1" t="shared" si="4"/>
        <v>32</v>
      </c>
      <c r="K22" t="s">
        <v>100</v>
      </c>
      <c r="L22" t="str">
        <f ca="1">VLOOKUP(H22,A:B,2,FALSE)</f>
        <v>韩</v>
      </c>
      <c r="M22" s="6" t="str">
        <f ca="1">VLOOKUP(I22,C:D,2,FALSE)</f>
        <v>金甫</v>
      </c>
      <c r="AE22" t="s">
        <v>121</v>
      </c>
    </row>
    <row r="23" spans="1:31">
      <c r="A23">
        <f t="shared" si="0"/>
        <v>12</v>
      </c>
      <c r="B23" t="s">
        <v>122</v>
      </c>
      <c r="C23">
        <f t="shared" si="1"/>
        <v>22</v>
      </c>
      <c r="D23" t="s">
        <v>123</v>
      </c>
      <c r="H23">
        <f ca="1" t="shared" si="2"/>
        <v>83</v>
      </c>
      <c r="I23">
        <f ca="1" t="shared" si="4"/>
        <v>25</v>
      </c>
      <c r="K23" t="s">
        <v>100</v>
      </c>
      <c r="L23" t="str">
        <f ca="1">VLOOKUP(H23,A:B,2,FALSE)</f>
        <v>时</v>
      </c>
      <c r="M23" s="6" t="str">
        <f ca="1">VLOOKUP(I23,C:D,2,FALSE)</f>
        <v>士淋</v>
      </c>
      <c r="AE23" t="s">
        <v>11</v>
      </c>
    </row>
    <row r="24" spans="1:31">
      <c r="A24">
        <f t="shared" si="0"/>
        <v>13</v>
      </c>
      <c r="B24" t="s">
        <v>124</v>
      </c>
      <c r="C24">
        <f t="shared" si="1"/>
        <v>23</v>
      </c>
      <c r="D24" t="s">
        <v>125</v>
      </c>
      <c r="H24">
        <f ca="1" t="shared" si="2"/>
        <v>287</v>
      </c>
      <c r="I24">
        <f ca="1" t="shared" si="4"/>
        <v>29</v>
      </c>
      <c r="K24" t="s">
        <v>100</v>
      </c>
      <c r="L24" t="str">
        <f ca="1">VLOOKUP(H24,A:B,2,FALSE)</f>
        <v>苍</v>
      </c>
      <c r="M24" s="6" t="str">
        <f ca="1">VLOOKUP(I24,C:D,2,FALSE)</f>
        <v>千晖</v>
      </c>
      <c r="AE24" t="s">
        <v>12</v>
      </c>
    </row>
    <row r="25" spans="1:31">
      <c r="A25">
        <f t="shared" si="0"/>
        <v>14</v>
      </c>
      <c r="B25" t="s">
        <v>126</v>
      </c>
      <c r="C25">
        <f t="shared" si="1"/>
        <v>24</v>
      </c>
      <c r="D25" t="s">
        <v>127</v>
      </c>
      <c r="H25">
        <f ca="1" t="shared" si="2"/>
        <v>175</v>
      </c>
      <c r="I25">
        <f ca="1" t="shared" si="4"/>
        <v>49</v>
      </c>
      <c r="K25" t="s">
        <v>100</v>
      </c>
      <c r="L25" t="str">
        <f ca="1">VLOOKUP(H25,A:B,2,FALSE)</f>
        <v>应</v>
      </c>
      <c r="M25" s="6" t="str">
        <f ca="1">VLOOKUP(I25,C:D,2,FALSE)</f>
        <v>铸宏</v>
      </c>
      <c r="AE25" t="s">
        <v>128</v>
      </c>
    </row>
    <row r="26" spans="1:31">
      <c r="A26">
        <f t="shared" si="0"/>
        <v>15</v>
      </c>
      <c r="B26" t="s">
        <v>129</v>
      </c>
      <c r="C26">
        <f t="shared" si="1"/>
        <v>25</v>
      </c>
      <c r="D26" t="s">
        <v>130</v>
      </c>
      <c r="H26">
        <f ca="1" t="shared" si="2"/>
        <v>474</v>
      </c>
      <c r="I26">
        <f ca="1" t="shared" si="4"/>
        <v>43</v>
      </c>
      <c r="K26" t="s">
        <v>100</v>
      </c>
      <c r="L26" t="str">
        <f ca="1">VLOOKUP(H26,A:B,2,FALSE)</f>
        <v>官</v>
      </c>
      <c r="M26" s="6" t="str">
        <f ca="1">VLOOKUP(I26,C:D,2,FALSE)</f>
        <v>锌涵</v>
      </c>
      <c r="AE26" t="s">
        <v>14</v>
      </c>
    </row>
    <row r="27" spans="1:31">
      <c r="A27">
        <f t="shared" si="0"/>
        <v>16</v>
      </c>
      <c r="B27" t="s">
        <v>131</v>
      </c>
      <c r="C27">
        <f t="shared" si="1"/>
        <v>26</v>
      </c>
      <c r="D27" t="s">
        <v>132</v>
      </c>
      <c r="H27">
        <f ca="1" t="shared" si="2"/>
        <v>458</v>
      </c>
      <c r="I27">
        <f ca="1" t="shared" si="4"/>
        <v>49</v>
      </c>
      <c r="K27" t="s">
        <v>100</v>
      </c>
      <c r="L27" t="str">
        <f ca="1">VLOOKUP(H27,A:B,2,FALSE)</f>
        <v>离</v>
      </c>
      <c r="M27" s="6" t="str">
        <f ca="1">VLOOKUP(I27,C:D,2,FALSE)</f>
        <v>铸宏</v>
      </c>
      <c r="AE27" t="s">
        <v>133</v>
      </c>
    </row>
    <row r="28" spans="1:31">
      <c r="A28">
        <f t="shared" si="0"/>
        <v>17</v>
      </c>
      <c r="B28" t="s">
        <v>134</v>
      </c>
      <c r="C28">
        <f t="shared" si="1"/>
        <v>27</v>
      </c>
      <c r="D28" t="s">
        <v>135</v>
      </c>
      <c r="H28">
        <f ca="1" t="shared" si="2"/>
        <v>436</v>
      </c>
      <c r="I28">
        <f ca="1" t="shared" si="4"/>
        <v>42</v>
      </c>
      <c r="K28" t="s">
        <v>100</v>
      </c>
      <c r="L28" t="str">
        <f ca="1">VLOOKUP(H28,A:B,2,FALSE)</f>
        <v>冶</v>
      </c>
      <c r="M28" s="6" t="str">
        <f ca="1">VLOOKUP(I28,C:D,2,FALSE)</f>
        <v>铄涛</v>
      </c>
      <c r="AE28" t="s">
        <v>16</v>
      </c>
    </row>
    <row r="29" spans="1:31">
      <c r="A29">
        <f t="shared" si="0"/>
        <v>18</v>
      </c>
      <c r="B29" t="s">
        <v>136</v>
      </c>
      <c r="C29">
        <f t="shared" si="1"/>
        <v>28</v>
      </c>
      <c r="D29" t="s">
        <v>137</v>
      </c>
      <c r="H29">
        <f ca="1" t="shared" si="2"/>
        <v>242</v>
      </c>
      <c r="I29">
        <f ca="1" t="shared" si="4"/>
        <v>22</v>
      </c>
      <c r="K29" t="s">
        <v>100</v>
      </c>
      <c r="L29" t="str">
        <f ca="1">VLOOKUP(H29,A:B,2,FALSE)</f>
        <v>仇</v>
      </c>
      <c r="M29" s="6" t="str">
        <f ca="1">VLOOKUP(I29,C:D,2,FALSE)</f>
        <v>宗好</v>
      </c>
      <c r="AE29" t="s">
        <v>17</v>
      </c>
    </row>
    <row r="30" spans="1:31">
      <c r="A30">
        <f t="shared" si="0"/>
        <v>19</v>
      </c>
      <c r="B30" t="s">
        <v>138</v>
      </c>
      <c r="C30">
        <f t="shared" si="1"/>
        <v>29</v>
      </c>
      <c r="D30" t="s">
        <v>139</v>
      </c>
      <c r="H30">
        <f ca="1" t="shared" si="2"/>
        <v>97</v>
      </c>
      <c r="I30">
        <f ca="1" t="shared" si="4"/>
        <v>43</v>
      </c>
      <c r="K30" t="s">
        <v>100</v>
      </c>
      <c r="L30" t="str">
        <f ca="1">VLOOKUP(H30,A:B,2,FALSE)</f>
        <v>和</v>
      </c>
      <c r="M30" s="6" t="str">
        <f ca="1">VLOOKUP(I30,C:D,2,FALSE)</f>
        <v>锌涵</v>
      </c>
      <c r="AE30" t="s">
        <v>18</v>
      </c>
    </row>
    <row r="31" spans="1:31">
      <c r="A31">
        <f t="shared" si="0"/>
        <v>20</v>
      </c>
      <c r="B31" t="s">
        <v>140</v>
      </c>
      <c r="C31">
        <f t="shared" si="1"/>
        <v>30</v>
      </c>
      <c r="D31" t="s">
        <v>141</v>
      </c>
      <c r="H31">
        <f ca="1" t="shared" si="2"/>
        <v>217</v>
      </c>
      <c r="I31">
        <f ca="1" t="shared" si="4"/>
        <v>2</v>
      </c>
      <c r="K31" t="s">
        <v>100</v>
      </c>
      <c r="L31" t="str">
        <f ca="1">VLOOKUP(H31,A:B,2,FALSE)</f>
        <v>井</v>
      </c>
      <c r="M31" s="6" t="e">
        <f ca="1">VLOOKUP(I31,C:D,2,FALSE)</f>
        <v>#N/A</v>
      </c>
      <c r="AE31" t="s">
        <v>142</v>
      </c>
    </row>
    <row r="32" spans="1:31">
      <c r="A32">
        <f t="shared" si="0"/>
        <v>21</v>
      </c>
      <c r="B32" t="s">
        <v>143</v>
      </c>
      <c r="C32">
        <f t="shared" si="1"/>
        <v>31</v>
      </c>
      <c r="D32" t="s">
        <v>144</v>
      </c>
      <c r="H32">
        <f ca="1" t="shared" si="2"/>
        <v>379</v>
      </c>
      <c r="I32">
        <f ca="1" t="shared" si="4"/>
        <v>47</v>
      </c>
      <c r="K32" t="s">
        <v>100</v>
      </c>
      <c r="L32" t="str">
        <f ca="1">VLOOKUP(H32,A:B,2,FALSE)</f>
        <v>辛</v>
      </c>
      <c r="M32" s="6" t="str">
        <f ca="1">VLOOKUP(I32,C:D,2,FALSE)</f>
        <v>舒潇</v>
      </c>
      <c r="AE32" t="s">
        <v>145</v>
      </c>
    </row>
    <row r="33" spans="1:31">
      <c r="A33">
        <f t="shared" si="0"/>
        <v>22</v>
      </c>
      <c r="B33" t="s">
        <v>146</v>
      </c>
      <c r="C33">
        <f t="shared" si="1"/>
        <v>32</v>
      </c>
      <c r="D33" t="s">
        <v>147</v>
      </c>
      <c r="H33">
        <f ca="1" t="shared" si="2"/>
        <v>326</v>
      </c>
      <c r="I33">
        <f ca="1" t="shared" si="4"/>
        <v>18</v>
      </c>
      <c r="K33" t="s">
        <v>100</v>
      </c>
      <c r="L33" t="str">
        <f ca="1">VLOOKUP(H33,A:B,2,FALSE)</f>
        <v>瞿</v>
      </c>
      <c r="M33" s="6" t="str">
        <f ca="1">VLOOKUP(I33,C:D,2,FALSE)</f>
        <v>镕彪</v>
      </c>
      <c r="AE33" t="s">
        <v>148</v>
      </c>
    </row>
    <row r="34" spans="1:31">
      <c r="A34">
        <f t="shared" si="0"/>
        <v>23</v>
      </c>
      <c r="B34" t="s">
        <v>149</v>
      </c>
      <c r="C34">
        <f t="shared" si="1"/>
        <v>33</v>
      </c>
      <c r="D34" t="s">
        <v>150</v>
      </c>
      <c r="H34">
        <f ca="1" t="shared" si="2"/>
        <v>499</v>
      </c>
      <c r="I34">
        <f ca="1" t="shared" si="4"/>
        <v>52</v>
      </c>
      <c r="K34" t="s">
        <v>100</v>
      </c>
      <c r="L34" t="str">
        <f ca="1">VLOOKUP(H34,A:B,2,FALSE)</f>
        <v>夹</v>
      </c>
      <c r="M34" s="6" t="str">
        <f ca="1">VLOOKUP(I34,C:D,2,FALSE)</f>
        <v>宣含</v>
      </c>
      <c r="AE34" t="s">
        <v>151</v>
      </c>
    </row>
    <row r="35" spans="1:31">
      <c r="A35">
        <f t="shared" si="0"/>
        <v>24</v>
      </c>
      <c r="B35" t="s">
        <v>152</v>
      </c>
      <c r="C35">
        <f t="shared" si="1"/>
        <v>34</v>
      </c>
      <c r="D35" t="s">
        <v>153</v>
      </c>
      <c r="H35">
        <f ca="1" t="shared" si="2"/>
        <v>392</v>
      </c>
      <c r="I35">
        <f ca="1" t="shared" si="4"/>
        <v>51</v>
      </c>
      <c r="K35" t="s">
        <v>100</v>
      </c>
      <c r="L35" t="str">
        <f ca="1">VLOOKUP(H35,A:B,2,FALSE)</f>
        <v>丰</v>
      </c>
      <c r="M35" s="6" t="str">
        <f ca="1">VLOOKUP(I35,C:D,2,FALSE)</f>
        <v>柔汐</v>
      </c>
      <c r="AE35" t="s">
        <v>154</v>
      </c>
    </row>
    <row r="36" spans="1:31">
      <c r="A36">
        <f t="shared" si="0"/>
        <v>25</v>
      </c>
      <c r="B36" t="s">
        <v>155</v>
      </c>
      <c r="C36">
        <f t="shared" si="1"/>
        <v>35</v>
      </c>
      <c r="D36" t="s">
        <v>156</v>
      </c>
      <c r="H36">
        <f ca="1" t="shared" si="2"/>
        <v>32</v>
      </c>
      <c r="I36">
        <f ca="1" t="shared" si="4"/>
        <v>20</v>
      </c>
      <c r="K36" t="s">
        <v>100</v>
      </c>
      <c r="L36" t="str">
        <f ca="1">VLOOKUP(H36,A:B,2,FALSE)</f>
        <v>姜</v>
      </c>
      <c r="M36" s="6" t="str">
        <f ca="1">VLOOKUP(I36,C:D,2,FALSE)</f>
        <v>世白</v>
      </c>
      <c r="AE36" t="s">
        <v>157</v>
      </c>
    </row>
    <row r="37" spans="1:31">
      <c r="A37">
        <f t="shared" si="0"/>
        <v>26</v>
      </c>
      <c r="B37" t="s">
        <v>158</v>
      </c>
      <c r="C37">
        <f t="shared" si="1"/>
        <v>36</v>
      </c>
      <c r="D37" t="s">
        <v>159</v>
      </c>
      <c r="H37">
        <f ca="1" t="shared" si="2"/>
        <v>483</v>
      </c>
      <c r="I37">
        <f ca="1" t="shared" si="4"/>
        <v>5</v>
      </c>
      <c r="K37" t="s">
        <v>100</v>
      </c>
      <c r="L37" t="str">
        <f ca="1">VLOOKUP(H37,A:B,2,FALSE)</f>
        <v>端</v>
      </c>
      <c r="M37" s="6" t="e">
        <f ca="1">VLOOKUP(I37,C:D,2,FALSE)</f>
        <v>#N/A</v>
      </c>
      <c r="AE37" t="s">
        <v>160</v>
      </c>
    </row>
    <row r="38" spans="1:31">
      <c r="A38">
        <f t="shared" si="0"/>
        <v>27</v>
      </c>
      <c r="B38" t="s">
        <v>161</v>
      </c>
      <c r="C38">
        <f t="shared" si="1"/>
        <v>37</v>
      </c>
      <c r="D38" t="s">
        <v>162</v>
      </c>
      <c r="H38">
        <f ca="1" t="shared" si="2"/>
        <v>452</v>
      </c>
      <c r="I38">
        <f ca="1" t="shared" si="4"/>
        <v>6</v>
      </c>
      <c r="K38" t="s">
        <v>100</v>
      </c>
      <c r="L38" t="str">
        <f ca="1">VLOOKUP(H38,A:B,2,FALSE)</f>
        <v>孙</v>
      </c>
      <c r="M38" s="6" t="e">
        <f ca="1">VLOOKUP(I38,C:D,2,FALSE)</f>
        <v>#N/A</v>
      </c>
      <c r="AE38" t="s">
        <v>163</v>
      </c>
    </row>
    <row r="39" spans="1:31">
      <c r="A39">
        <f t="shared" si="0"/>
        <v>28</v>
      </c>
      <c r="B39" t="s">
        <v>164</v>
      </c>
      <c r="C39">
        <f t="shared" si="1"/>
        <v>38</v>
      </c>
      <c r="D39" t="s">
        <v>165</v>
      </c>
      <c r="H39">
        <f ca="1" t="shared" si="2"/>
        <v>501</v>
      </c>
      <c r="I39">
        <f ca="1" t="shared" si="4"/>
        <v>36</v>
      </c>
      <c r="K39" t="s">
        <v>100</v>
      </c>
      <c r="L39" t="str">
        <f ca="1">VLOOKUP(H39,A:B,2,FALSE)</f>
        <v>宰</v>
      </c>
      <c r="M39" s="6" t="str">
        <f ca="1">VLOOKUP(I39,C:D,2,FALSE)</f>
        <v>紫雨</v>
      </c>
      <c r="AE39" t="s">
        <v>166</v>
      </c>
    </row>
    <row r="40" spans="1:31">
      <c r="A40">
        <f t="shared" si="0"/>
        <v>29</v>
      </c>
      <c r="B40" t="s">
        <v>167</v>
      </c>
      <c r="C40">
        <f t="shared" si="1"/>
        <v>39</v>
      </c>
      <c r="D40" t="s">
        <v>168</v>
      </c>
      <c r="H40">
        <f ca="1" t="shared" si="2"/>
        <v>56</v>
      </c>
      <c r="I40">
        <f ca="1" t="shared" si="4"/>
        <v>50</v>
      </c>
      <c r="K40" t="s">
        <v>100</v>
      </c>
      <c r="L40" t="str">
        <f ca="1">VLOOKUP(H40,A:B,2,FALSE)</f>
        <v>方</v>
      </c>
      <c r="M40" s="6" t="str">
        <f ca="1">VLOOKUP(I40,C:D,2,FALSE)</f>
        <v>宗华</v>
      </c>
      <c r="AE40" t="s">
        <v>169</v>
      </c>
    </row>
    <row r="41" spans="1:31">
      <c r="A41">
        <f t="shared" si="0"/>
        <v>30</v>
      </c>
      <c r="B41" t="s">
        <v>170</v>
      </c>
      <c r="C41">
        <f t="shared" si="1"/>
        <v>40</v>
      </c>
      <c r="D41" t="s">
        <v>171</v>
      </c>
      <c r="H41">
        <f ca="1" t="shared" si="2"/>
        <v>363</v>
      </c>
      <c r="I41">
        <f ca="1" t="shared" si="4"/>
        <v>8</v>
      </c>
      <c r="K41" t="s">
        <v>100</v>
      </c>
      <c r="L41" t="str">
        <f ca="1">VLOOKUP(H41,A:B,2,FALSE)</f>
        <v>沃</v>
      </c>
      <c r="M41" s="6" t="e">
        <f ca="1">VLOOKUP(I41,C:D,2,FALSE)</f>
        <v>#N/A</v>
      </c>
      <c r="AE41" t="s">
        <v>172</v>
      </c>
    </row>
    <row r="42" spans="1:31">
      <c r="A42">
        <f t="shared" si="0"/>
        <v>31</v>
      </c>
      <c r="B42" t="s">
        <v>173</v>
      </c>
      <c r="C42">
        <f t="shared" si="1"/>
        <v>41</v>
      </c>
      <c r="D42" t="s">
        <v>174</v>
      </c>
      <c r="H42">
        <f ca="1" t="shared" si="2"/>
        <v>466</v>
      </c>
      <c r="I42">
        <f ca="1" t="shared" si="4"/>
        <v>37</v>
      </c>
      <c r="K42" t="s">
        <v>100</v>
      </c>
      <c r="L42" t="str">
        <f ca="1">VLOOKUP(H42,A:B,2,FALSE)</f>
        <v>于</v>
      </c>
      <c r="M42" s="6" t="str">
        <f ca="1">VLOOKUP(I42,C:D,2,FALSE)</f>
        <v>镜香</v>
      </c>
      <c r="AE42" t="s">
        <v>175</v>
      </c>
    </row>
    <row r="43" spans="1:31">
      <c r="A43">
        <f t="shared" si="0"/>
        <v>32</v>
      </c>
      <c r="B43" t="s">
        <v>176</v>
      </c>
      <c r="C43">
        <f t="shared" si="1"/>
        <v>42</v>
      </c>
      <c r="D43" t="s">
        <v>177</v>
      </c>
      <c r="H43">
        <f ca="1" t="shared" si="2"/>
        <v>491</v>
      </c>
      <c r="I43">
        <f ca="1" t="shared" si="4"/>
        <v>12</v>
      </c>
      <c r="K43" t="s">
        <v>100</v>
      </c>
      <c r="L43" t="str">
        <f ca="1">VLOOKUP(H43,A:B,2,FALSE)</f>
        <v>乐</v>
      </c>
      <c r="M43" s="6" t="str">
        <f ca="1">VLOOKUP(I43,C:D,2,FALSE)</f>
        <v>钦浩</v>
      </c>
      <c r="AE43" t="s">
        <v>178</v>
      </c>
    </row>
    <row r="44" spans="1:31">
      <c r="A44">
        <f t="shared" si="0"/>
        <v>33</v>
      </c>
      <c r="B44" t="s">
        <v>179</v>
      </c>
      <c r="C44">
        <f t="shared" si="1"/>
        <v>43</v>
      </c>
      <c r="D44" t="s">
        <v>180</v>
      </c>
      <c r="H44">
        <f ca="1" t="shared" si="2"/>
        <v>13</v>
      </c>
      <c r="I44">
        <f ca="1" t="shared" si="4"/>
        <v>38</v>
      </c>
      <c r="K44" t="s">
        <v>100</v>
      </c>
      <c r="L44" t="str">
        <f ca="1">VLOOKUP(H44,A:B,2,FALSE)</f>
        <v>蒋</v>
      </c>
      <c r="M44" s="6" t="str">
        <f ca="1">VLOOKUP(I44,C:D,2,FALSE)</f>
        <v>昌滨</v>
      </c>
      <c r="AE44" t="s">
        <v>181</v>
      </c>
    </row>
    <row r="45" spans="1:31">
      <c r="A45">
        <f t="shared" si="0"/>
        <v>34</v>
      </c>
      <c r="B45" t="s">
        <v>182</v>
      </c>
      <c r="C45">
        <f t="shared" si="1"/>
        <v>44</v>
      </c>
      <c r="D45" t="s">
        <v>183</v>
      </c>
      <c r="AE45" t="s">
        <v>184</v>
      </c>
    </row>
    <row r="46" spans="1:31">
      <c r="A46">
        <f t="shared" si="0"/>
        <v>35</v>
      </c>
      <c r="B46" t="s">
        <v>185</v>
      </c>
      <c r="C46">
        <f t="shared" si="1"/>
        <v>45</v>
      </c>
      <c r="D46" t="s">
        <v>186</v>
      </c>
      <c r="AE46" t="s">
        <v>187</v>
      </c>
    </row>
    <row r="47" spans="1:31">
      <c r="A47">
        <f t="shared" si="0"/>
        <v>36</v>
      </c>
      <c r="B47" t="s">
        <v>188</v>
      </c>
      <c r="C47">
        <f t="shared" si="1"/>
        <v>46</v>
      </c>
      <c r="D47" t="s">
        <v>189</v>
      </c>
      <c r="AE47" t="s">
        <v>190</v>
      </c>
    </row>
    <row r="48" spans="1:31">
      <c r="A48">
        <f t="shared" si="0"/>
        <v>37</v>
      </c>
      <c r="B48" t="s">
        <v>191</v>
      </c>
      <c r="C48">
        <f t="shared" si="1"/>
        <v>47</v>
      </c>
      <c r="D48" t="s">
        <v>192</v>
      </c>
      <c r="AE48" t="s">
        <v>193</v>
      </c>
    </row>
    <row r="49" spans="1:31">
      <c r="A49">
        <f t="shared" si="0"/>
        <v>38</v>
      </c>
      <c r="B49" t="s">
        <v>194</v>
      </c>
      <c r="C49">
        <f t="shared" si="1"/>
        <v>48</v>
      </c>
      <c r="D49" t="s">
        <v>195</v>
      </c>
      <c r="AE49" t="s">
        <v>10</v>
      </c>
    </row>
    <row r="50" spans="1:31">
      <c r="A50">
        <f t="shared" si="0"/>
        <v>39</v>
      </c>
      <c r="B50" t="s">
        <v>196</v>
      </c>
      <c r="C50">
        <f t="shared" si="1"/>
        <v>49</v>
      </c>
      <c r="D50" t="s">
        <v>197</v>
      </c>
      <c r="AE50" t="s">
        <v>13</v>
      </c>
    </row>
    <row r="51" spans="1:31">
      <c r="A51">
        <f t="shared" si="0"/>
        <v>40</v>
      </c>
      <c r="B51" t="s">
        <v>198</v>
      </c>
      <c r="C51">
        <f t="shared" si="1"/>
        <v>50</v>
      </c>
      <c r="D51" t="s">
        <v>199</v>
      </c>
      <c r="AE51" t="s">
        <v>15</v>
      </c>
    </row>
    <row r="52" spans="1:31">
      <c r="A52">
        <f t="shared" si="0"/>
        <v>41</v>
      </c>
      <c r="B52" t="s">
        <v>200</v>
      </c>
      <c r="C52">
        <f t="shared" si="1"/>
        <v>51</v>
      </c>
      <c r="D52" t="s">
        <v>201</v>
      </c>
      <c r="AE52" t="s">
        <v>19</v>
      </c>
    </row>
    <row r="53" spans="1:31">
      <c r="A53">
        <f t="shared" si="0"/>
        <v>42</v>
      </c>
      <c r="B53" t="s">
        <v>202</v>
      </c>
      <c r="C53">
        <f t="shared" si="1"/>
        <v>52</v>
      </c>
      <c r="D53" t="s">
        <v>203</v>
      </c>
      <c r="AE53" t="s">
        <v>204</v>
      </c>
    </row>
    <row r="54" spans="1:31">
      <c r="A54">
        <f t="shared" si="0"/>
        <v>43</v>
      </c>
      <c r="B54" t="s">
        <v>205</v>
      </c>
      <c r="C54">
        <f t="shared" si="1"/>
        <v>53</v>
      </c>
      <c r="D54" t="s">
        <v>206</v>
      </c>
      <c r="AE54" t="s">
        <v>207</v>
      </c>
    </row>
    <row r="55" spans="1:4">
      <c r="A55">
        <f t="shared" si="0"/>
        <v>44</v>
      </c>
      <c r="B55" t="s">
        <v>208</v>
      </c>
      <c r="C55">
        <f t="shared" si="1"/>
        <v>54</v>
      </c>
      <c r="D55" t="s">
        <v>209</v>
      </c>
    </row>
    <row r="56" spans="1:4">
      <c r="A56">
        <f t="shared" si="0"/>
        <v>45</v>
      </c>
      <c r="B56" t="s">
        <v>210</v>
      </c>
      <c r="C56">
        <f t="shared" si="1"/>
        <v>55</v>
      </c>
      <c r="D56" t="s">
        <v>211</v>
      </c>
    </row>
    <row r="57" spans="1:4">
      <c r="A57">
        <f t="shared" si="0"/>
        <v>46</v>
      </c>
      <c r="B57" t="s">
        <v>212</v>
      </c>
      <c r="C57">
        <f t="shared" si="1"/>
        <v>56</v>
      </c>
      <c r="D57" t="s">
        <v>213</v>
      </c>
    </row>
    <row r="58" spans="1:4">
      <c r="A58">
        <f t="shared" si="0"/>
        <v>47</v>
      </c>
      <c r="B58" t="s">
        <v>214</v>
      </c>
      <c r="C58">
        <f t="shared" si="1"/>
        <v>57</v>
      </c>
      <c r="D58" t="s">
        <v>215</v>
      </c>
    </row>
    <row r="59" spans="1:4">
      <c r="A59">
        <f t="shared" si="0"/>
        <v>48</v>
      </c>
      <c r="B59" t="s">
        <v>216</v>
      </c>
      <c r="C59">
        <f t="shared" si="1"/>
        <v>58</v>
      </c>
      <c r="D59" t="s">
        <v>217</v>
      </c>
    </row>
    <row r="60" spans="1:4">
      <c r="A60">
        <f t="shared" si="0"/>
        <v>49</v>
      </c>
      <c r="B60" t="s">
        <v>218</v>
      </c>
      <c r="C60">
        <f t="shared" si="1"/>
        <v>59</v>
      </c>
      <c r="D60" t="s">
        <v>219</v>
      </c>
    </row>
    <row r="61" spans="1:4">
      <c r="A61">
        <f t="shared" si="0"/>
        <v>50</v>
      </c>
      <c r="B61" t="s">
        <v>220</v>
      </c>
      <c r="C61">
        <f t="shared" si="1"/>
        <v>60</v>
      </c>
      <c r="D61" t="s">
        <v>221</v>
      </c>
    </row>
    <row r="62" spans="1:4">
      <c r="A62">
        <f t="shared" si="0"/>
        <v>51</v>
      </c>
      <c r="B62" t="s">
        <v>222</v>
      </c>
      <c r="C62">
        <f t="shared" si="1"/>
        <v>61</v>
      </c>
      <c r="D62" t="s">
        <v>223</v>
      </c>
    </row>
    <row r="63" spans="1:4">
      <c r="A63">
        <f t="shared" si="0"/>
        <v>52</v>
      </c>
      <c r="B63" t="s">
        <v>224</v>
      </c>
      <c r="C63">
        <f t="shared" si="1"/>
        <v>62</v>
      </c>
      <c r="D63" t="s">
        <v>225</v>
      </c>
    </row>
    <row r="64" spans="1:4">
      <c r="A64">
        <f t="shared" si="0"/>
        <v>53</v>
      </c>
      <c r="B64" t="s">
        <v>226</v>
      </c>
      <c r="C64">
        <f t="shared" si="1"/>
        <v>63</v>
      </c>
      <c r="D64" t="s">
        <v>227</v>
      </c>
    </row>
    <row r="65" spans="1:4">
      <c r="A65">
        <f t="shared" si="0"/>
        <v>54</v>
      </c>
      <c r="B65" t="s">
        <v>228</v>
      </c>
      <c r="C65">
        <f t="shared" si="1"/>
        <v>64</v>
      </c>
      <c r="D65" t="s">
        <v>229</v>
      </c>
    </row>
    <row r="66" spans="1:4">
      <c r="A66">
        <f t="shared" si="0"/>
        <v>55</v>
      </c>
      <c r="B66" t="s">
        <v>230</v>
      </c>
      <c r="C66">
        <f t="shared" si="1"/>
        <v>65</v>
      </c>
      <c r="D66" t="s">
        <v>231</v>
      </c>
    </row>
    <row r="67" ht="17.25" spans="1:3">
      <c r="A67">
        <f t="shared" si="0"/>
        <v>56</v>
      </c>
      <c r="B67" t="s">
        <v>232</v>
      </c>
      <c r="C67" s="7"/>
    </row>
    <row r="68" ht="17.25" spans="1:3">
      <c r="A68">
        <f t="shared" si="0"/>
        <v>57</v>
      </c>
      <c r="B68" t="s">
        <v>233</v>
      </c>
      <c r="C68" s="7"/>
    </row>
    <row r="69" ht="17.25" spans="1:3">
      <c r="A69">
        <f t="shared" si="0"/>
        <v>58</v>
      </c>
      <c r="B69" t="s">
        <v>234</v>
      </c>
      <c r="C69" s="7"/>
    </row>
    <row r="70" ht="17.25" spans="1:3">
      <c r="A70">
        <f t="shared" si="0"/>
        <v>59</v>
      </c>
      <c r="B70" t="s">
        <v>235</v>
      </c>
      <c r="C70" s="7"/>
    </row>
    <row r="71" ht="17.25" spans="1:3">
      <c r="A71">
        <f t="shared" si="0"/>
        <v>60</v>
      </c>
      <c r="B71" t="s">
        <v>236</v>
      </c>
      <c r="C71" s="7"/>
    </row>
    <row r="72" ht="17.25" spans="1:3">
      <c r="A72">
        <f t="shared" si="0"/>
        <v>61</v>
      </c>
      <c r="B72" t="s">
        <v>237</v>
      </c>
      <c r="C72" s="7"/>
    </row>
    <row r="73" ht="17.25" spans="1:3">
      <c r="A73">
        <f t="shared" si="0"/>
        <v>62</v>
      </c>
      <c r="B73" t="s">
        <v>238</v>
      </c>
      <c r="C73" s="7"/>
    </row>
    <row r="74" ht="17.25" spans="1:3">
      <c r="A74">
        <f t="shared" si="0"/>
        <v>63</v>
      </c>
      <c r="B74" t="s">
        <v>239</v>
      </c>
      <c r="C74" s="7"/>
    </row>
    <row r="75" ht="17.25" spans="1:3">
      <c r="A75">
        <f t="shared" si="0"/>
        <v>64</v>
      </c>
      <c r="B75" t="s">
        <v>240</v>
      </c>
      <c r="C75" s="7"/>
    </row>
    <row r="76" ht="17.25" spans="1:3">
      <c r="A76">
        <f t="shared" ref="A76:A139" si="5">ROW()-11</f>
        <v>65</v>
      </c>
      <c r="B76" t="s">
        <v>241</v>
      </c>
      <c r="C76" s="7"/>
    </row>
    <row r="77" ht="17.25" spans="1:3">
      <c r="A77">
        <f t="shared" si="5"/>
        <v>66</v>
      </c>
      <c r="B77" t="s">
        <v>242</v>
      </c>
      <c r="C77" s="7"/>
    </row>
    <row r="78" ht="17.25" spans="1:3">
      <c r="A78">
        <f t="shared" si="5"/>
        <v>67</v>
      </c>
      <c r="B78" t="s">
        <v>243</v>
      </c>
      <c r="C78" s="7"/>
    </row>
    <row r="79" ht="17.25" spans="1:3">
      <c r="A79">
        <f t="shared" si="5"/>
        <v>68</v>
      </c>
      <c r="B79" t="s">
        <v>244</v>
      </c>
      <c r="C79" s="7"/>
    </row>
    <row r="80" ht="17.25" spans="1:3">
      <c r="A80">
        <f t="shared" si="5"/>
        <v>69</v>
      </c>
      <c r="B80" t="s">
        <v>245</v>
      </c>
      <c r="C80" s="7"/>
    </row>
    <row r="81" ht="17.25" spans="1:3">
      <c r="A81">
        <f t="shared" si="5"/>
        <v>70</v>
      </c>
      <c r="B81" t="s">
        <v>246</v>
      </c>
      <c r="C81" s="7"/>
    </row>
    <row r="82" ht="17.25" spans="1:3">
      <c r="A82">
        <f t="shared" si="5"/>
        <v>71</v>
      </c>
      <c r="B82" t="s">
        <v>247</v>
      </c>
      <c r="C82" s="7"/>
    </row>
    <row r="83" spans="1:2">
      <c r="A83">
        <f t="shared" si="5"/>
        <v>72</v>
      </c>
      <c r="B83" t="s">
        <v>248</v>
      </c>
    </row>
    <row r="84" spans="1:2">
      <c r="A84">
        <f t="shared" si="5"/>
        <v>73</v>
      </c>
      <c r="B84" t="s">
        <v>249</v>
      </c>
    </row>
    <row r="85" spans="1:2">
      <c r="A85">
        <f t="shared" si="5"/>
        <v>74</v>
      </c>
      <c r="B85" t="s">
        <v>250</v>
      </c>
    </row>
    <row r="86" spans="1:2">
      <c r="A86">
        <f t="shared" si="5"/>
        <v>75</v>
      </c>
      <c r="B86" t="s">
        <v>251</v>
      </c>
    </row>
    <row r="87" spans="1:2">
      <c r="A87">
        <f t="shared" si="5"/>
        <v>76</v>
      </c>
      <c r="B87" t="s">
        <v>252</v>
      </c>
    </row>
    <row r="88" spans="1:2">
      <c r="A88">
        <f t="shared" si="5"/>
        <v>77</v>
      </c>
      <c r="B88" t="s">
        <v>253</v>
      </c>
    </row>
    <row r="89" spans="1:2">
      <c r="A89">
        <f t="shared" si="5"/>
        <v>78</v>
      </c>
      <c r="B89" t="s">
        <v>254</v>
      </c>
    </row>
    <row r="90" spans="1:2">
      <c r="A90">
        <f t="shared" si="5"/>
        <v>79</v>
      </c>
      <c r="B90" t="s">
        <v>255</v>
      </c>
    </row>
    <row r="91" spans="1:2">
      <c r="A91">
        <f t="shared" si="5"/>
        <v>80</v>
      </c>
      <c r="B91" t="s">
        <v>256</v>
      </c>
    </row>
    <row r="92" spans="1:2">
      <c r="A92">
        <f t="shared" si="5"/>
        <v>81</v>
      </c>
      <c r="B92" t="s">
        <v>257</v>
      </c>
    </row>
    <row r="93" spans="1:2">
      <c r="A93">
        <f t="shared" si="5"/>
        <v>82</v>
      </c>
      <c r="B93" t="s">
        <v>258</v>
      </c>
    </row>
    <row r="94" spans="1:2">
      <c r="A94">
        <f t="shared" si="5"/>
        <v>83</v>
      </c>
      <c r="B94" t="s">
        <v>259</v>
      </c>
    </row>
    <row r="95" spans="1:2">
      <c r="A95">
        <f t="shared" si="5"/>
        <v>84</v>
      </c>
      <c r="B95" t="s">
        <v>260</v>
      </c>
    </row>
    <row r="96" spans="1:2">
      <c r="A96">
        <f t="shared" si="5"/>
        <v>85</v>
      </c>
      <c r="B96" t="s">
        <v>261</v>
      </c>
    </row>
    <row r="97" spans="1:2">
      <c r="A97">
        <f t="shared" si="5"/>
        <v>86</v>
      </c>
      <c r="B97" t="s">
        <v>262</v>
      </c>
    </row>
    <row r="98" spans="1:2">
      <c r="A98">
        <f t="shared" si="5"/>
        <v>87</v>
      </c>
      <c r="B98" t="s">
        <v>263</v>
      </c>
    </row>
    <row r="99" spans="1:2">
      <c r="A99">
        <f t="shared" si="5"/>
        <v>88</v>
      </c>
      <c r="B99" t="s">
        <v>264</v>
      </c>
    </row>
    <row r="100" spans="1:2">
      <c r="A100">
        <f t="shared" si="5"/>
        <v>89</v>
      </c>
      <c r="B100" t="s">
        <v>265</v>
      </c>
    </row>
    <row r="101" spans="1:2">
      <c r="A101">
        <f t="shared" si="5"/>
        <v>90</v>
      </c>
      <c r="B101" t="s">
        <v>266</v>
      </c>
    </row>
    <row r="102" spans="1:2">
      <c r="A102">
        <f t="shared" si="5"/>
        <v>91</v>
      </c>
      <c r="B102" t="s">
        <v>267</v>
      </c>
    </row>
    <row r="103" spans="1:2">
      <c r="A103">
        <f t="shared" si="5"/>
        <v>92</v>
      </c>
      <c r="B103" t="s">
        <v>268</v>
      </c>
    </row>
    <row r="104" spans="1:2">
      <c r="A104">
        <f t="shared" si="5"/>
        <v>93</v>
      </c>
      <c r="B104" t="s">
        <v>269</v>
      </c>
    </row>
    <row r="105" spans="1:2">
      <c r="A105">
        <f t="shared" si="5"/>
        <v>94</v>
      </c>
      <c r="B105" t="s">
        <v>270</v>
      </c>
    </row>
    <row r="106" spans="1:2">
      <c r="A106">
        <f t="shared" si="5"/>
        <v>95</v>
      </c>
      <c r="B106" t="s">
        <v>271</v>
      </c>
    </row>
    <row r="107" spans="1:2">
      <c r="A107">
        <f t="shared" si="5"/>
        <v>96</v>
      </c>
      <c r="B107" t="s">
        <v>272</v>
      </c>
    </row>
    <row r="108" spans="1:2">
      <c r="A108">
        <f t="shared" si="5"/>
        <v>97</v>
      </c>
      <c r="B108" t="s">
        <v>273</v>
      </c>
    </row>
    <row r="109" spans="1:2">
      <c r="A109">
        <f t="shared" si="5"/>
        <v>98</v>
      </c>
      <c r="B109" t="s">
        <v>274</v>
      </c>
    </row>
    <row r="110" spans="1:2">
      <c r="A110">
        <f t="shared" si="5"/>
        <v>99</v>
      </c>
      <c r="B110" t="s">
        <v>275</v>
      </c>
    </row>
    <row r="111" spans="1:2">
      <c r="A111">
        <f t="shared" si="5"/>
        <v>100</v>
      </c>
      <c r="B111" t="s">
        <v>276</v>
      </c>
    </row>
    <row r="112" spans="1:2">
      <c r="A112">
        <f t="shared" si="5"/>
        <v>101</v>
      </c>
      <c r="B112" t="s">
        <v>277</v>
      </c>
    </row>
    <row r="113" spans="1:2">
      <c r="A113">
        <f t="shared" si="5"/>
        <v>102</v>
      </c>
      <c r="B113" t="s">
        <v>278</v>
      </c>
    </row>
    <row r="114" spans="1:2">
      <c r="A114">
        <f t="shared" si="5"/>
        <v>103</v>
      </c>
      <c r="B114" t="s">
        <v>279</v>
      </c>
    </row>
    <row r="115" spans="1:2">
      <c r="A115">
        <f t="shared" si="5"/>
        <v>104</v>
      </c>
      <c r="B115" t="s">
        <v>280</v>
      </c>
    </row>
    <row r="116" spans="1:2">
      <c r="A116">
        <f t="shared" si="5"/>
        <v>105</v>
      </c>
      <c r="B116" t="s">
        <v>281</v>
      </c>
    </row>
    <row r="117" spans="1:2">
      <c r="A117">
        <f t="shared" si="5"/>
        <v>106</v>
      </c>
      <c r="B117" t="s">
        <v>282</v>
      </c>
    </row>
    <row r="118" spans="1:2">
      <c r="A118">
        <f t="shared" si="5"/>
        <v>107</v>
      </c>
      <c r="B118" t="s">
        <v>283</v>
      </c>
    </row>
    <row r="119" spans="1:2">
      <c r="A119">
        <f t="shared" si="5"/>
        <v>108</v>
      </c>
      <c r="B119" t="s">
        <v>284</v>
      </c>
    </row>
    <row r="120" spans="1:2">
      <c r="A120">
        <f t="shared" si="5"/>
        <v>109</v>
      </c>
      <c r="B120" t="s">
        <v>285</v>
      </c>
    </row>
    <row r="121" spans="1:2">
      <c r="A121">
        <f t="shared" si="5"/>
        <v>110</v>
      </c>
      <c r="B121" t="s">
        <v>286</v>
      </c>
    </row>
    <row r="122" spans="1:2">
      <c r="A122">
        <f t="shared" si="5"/>
        <v>111</v>
      </c>
      <c r="B122" t="s">
        <v>287</v>
      </c>
    </row>
    <row r="123" spans="1:2">
      <c r="A123">
        <f t="shared" si="5"/>
        <v>112</v>
      </c>
      <c r="B123" t="s">
        <v>288</v>
      </c>
    </row>
    <row r="124" spans="1:2">
      <c r="A124">
        <f t="shared" si="5"/>
        <v>113</v>
      </c>
      <c r="B124" t="s">
        <v>289</v>
      </c>
    </row>
    <row r="125" spans="1:2">
      <c r="A125">
        <f t="shared" si="5"/>
        <v>114</v>
      </c>
      <c r="B125" t="s">
        <v>290</v>
      </c>
    </row>
    <row r="126" spans="1:2">
      <c r="A126">
        <f t="shared" si="5"/>
        <v>115</v>
      </c>
      <c r="B126" t="s">
        <v>291</v>
      </c>
    </row>
    <row r="127" spans="1:2">
      <c r="A127">
        <f t="shared" si="5"/>
        <v>116</v>
      </c>
      <c r="B127" t="s">
        <v>292</v>
      </c>
    </row>
    <row r="128" spans="1:2">
      <c r="A128">
        <f t="shared" si="5"/>
        <v>117</v>
      </c>
      <c r="B128" t="s">
        <v>293</v>
      </c>
    </row>
    <row r="129" spans="1:2">
      <c r="A129">
        <f t="shared" si="5"/>
        <v>118</v>
      </c>
      <c r="B129" t="s">
        <v>294</v>
      </c>
    </row>
    <row r="130" spans="1:2">
      <c r="A130">
        <f t="shared" si="5"/>
        <v>119</v>
      </c>
      <c r="B130" t="s">
        <v>295</v>
      </c>
    </row>
    <row r="131" spans="1:2">
      <c r="A131">
        <f t="shared" si="5"/>
        <v>120</v>
      </c>
      <c r="B131" t="s">
        <v>296</v>
      </c>
    </row>
    <row r="132" spans="1:2">
      <c r="A132">
        <f t="shared" si="5"/>
        <v>121</v>
      </c>
      <c r="B132" t="s">
        <v>297</v>
      </c>
    </row>
    <row r="133" spans="1:2">
      <c r="A133">
        <f t="shared" si="5"/>
        <v>122</v>
      </c>
      <c r="B133" t="s">
        <v>298</v>
      </c>
    </row>
    <row r="134" spans="1:2">
      <c r="A134">
        <f t="shared" si="5"/>
        <v>123</v>
      </c>
      <c r="B134" t="s">
        <v>299</v>
      </c>
    </row>
    <row r="135" spans="1:2">
      <c r="A135">
        <f t="shared" si="5"/>
        <v>124</v>
      </c>
      <c r="B135" t="s">
        <v>300</v>
      </c>
    </row>
    <row r="136" spans="1:2">
      <c r="A136">
        <f t="shared" si="5"/>
        <v>125</v>
      </c>
      <c r="B136" t="s">
        <v>301</v>
      </c>
    </row>
    <row r="137" spans="1:2">
      <c r="A137">
        <f t="shared" si="5"/>
        <v>126</v>
      </c>
      <c r="B137" t="s">
        <v>302</v>
      </c>
    </row>
    <row r="138" spans="1:2">
      <c r="A138">
        <f t="shared" si="5"/>
        <v>127</v>
      </c>
      <c r="B138" t="s">
        <v>303</v>
      </c>
    </row>
    <row r="139" spans="1:2">
      <c r="A139">
        <f t="shared" si="5"/>
        <v>128</v>
      </c>
      <c r="B139" t="s">
        <v>304</v>
      </c>
    </row>
    <row r="140" spans="1:2">
      <c r="A140">
        <f t="shared" ref="A140:A203" si="6">ROW()-11</f>
        <v>129</v>
      </c>
      <c r="B140" t="s">
        <v>305</v>
      </c>
    </row>
    <row r="141" spans="1:2">
      <c r="A141">
        <f t="shared" si="6"/>
        <v>130</v>
      </c>
      <c r="B141" t="s">
        <v>306</v>
      </c>
    </row>
    <row r="142" spans="1:2">
      <c r="A142">
        <f t="shared" si="6"/>
        <v>131</v>
      </c>
      <c r="B142" t="s">
        <v>307</v>
      </c>
    </row>
    <row r="143" spans="1:2">
      <c r="A143">
        <f t="shared" si="6"/>
        <v>132</v>
      </c>
      <c r="B143" t="s">
        <v>308</v>
      </c>
    </row>
    <row r="144" spans="1:2">
      <c r="A144">
        <f t="shared" si="6"/>
        <v>133</v>
      </c>
      <c r="B144" t="s">
        <v>309</v>
      </c>
    </row>
    <row r="145" spans="1:2">
      <c r="A145">
        <f t="shared" si="6"/>
        <v>134</v>
      </c>
      <c r="B145" t="s">
        <v>310</v>
      </c>
    </row>
    <row r="146" spans="1:2">
      <c r="A146">
        <f t="shared" si="6"/>
        <v>135</v>
      </c>
      <c r="B146" t="s">
        <v>311</v>
      </c>
    </row>
    <row r="147" spans="1:2">
      <c r="A147">
        <f t="shared" si="6"/>
        <v>136</v>
      </c>
      <c r="B147" t="s">
        <v>312</v>
      </c>
    </row>
    <row r="148" spans="1:2">
      <c r="A148">
        <f t="shared" si="6"/>
        <v>137</v>
      </c>
      <c r="B148" t="s">
        <v>313</v>
      </c>
    </row>
    <row r="149" spans="1:2">
      <c r="A149">
        <f t="shared" si="6"/>
        <v>138</v>
      </c>
      <c r="B149" t="s">
        <v>314</v>
      </c>
    </row>
    <row r="150" spans="1:2">
      <c r="A150">
        <f t="shared" si="6"/>
        <v>139</v>
      </c>
      <c r="B150" t="s">
        <v>315</v>
      </c>
    </row>
    <row r="151" spans="1:2">
      <c r="A151">
        <f t="shared" si="6"/>
        <v>140</v>
      </c>
      <c r="B151" t="s">
        <v>316</v>
      </c>
    </row>
    <row r="152" spans="1:2">
      <c r="A152">
        <f t="shared" si="6"/>
        <v>141</v>
      </c>
      <c r="B152" t="s">
        <v>317</v>
      </c>
    </row>
    <row r="153" spans="1:2">
      <c r="A153">
        <f t="shared" si="6"/>
        <v>142</v>
      </c>
      <c r="B153" t="s">
        <v>318</v>
      </c>
    </row>
    <row r="154" spans="1:2">
      <c r="A154">
        <f t="shared" si="6"/>
        <v>143</v>
      </c>
      <c r="B154" t="s">
        <v>319</v>
      </c>
    </row>
    <row r="155" spans="1:2">
      <c r="A155">
        <f t="shared" si="6"/>
        <v>144</v>
      </c>
      <c r="B155" t="s">
        <v>320</v>
      </c>
    </row>
    <row r="156" spans="1:2">
      <c r="A156">
        <f t="shared" si="6"/>
        <v>145</v>
      </c>
      <c r="B156" t="s">
        <v>321</v>
      </c>
    </row>
    <row r="157" spans="1:2">
      <c r="A157">
        <f t="shared" si="6"/>
        <v>146</v>
      </c>
      <c r="B157" t="s">
        <v>322</v>
      </c>
    </row>
    <row r="158" spans="1:2">
      <c r="A158">
        <f t="shared" si="6"/>
        <v>147</v>
      </c>
      <c r="B158" t="s">
        <v>323</v>
      </c>
    </row>
    <row r="159" spans="1:2">
      <c r="A159">
        <f t="shared" si="6"/>
        <v>148</v>
      </c>
      <c r="B159" t="s">
        <v>324</v>
      </c>
    </row>
    <row r="160" spans="1:2">
      <c r="A160">
        <f t="shared" si="6"/>
        <v>149</v>
      </c>
      <c r="B160" t="s">
        <v>325</v>
      </c>
    </row>
    <row r="161" spans="1:2">
      <c r="A161">
        <f t="shared" si="6"/>
        <v>150</v>
      </c>
      <c r="B161" t="s">
        <v>326</v>
      </c>
    </row>
    <row r="162" spans="1:2">
      <c r="A162">
        <f t="shared" si="6"/>
        <v>151</v>
      </c>
      <c r="B162" t="s">
        <v>327</v>
      </c>
    </row>
    <row r="163" spans="1:2">
      <c r="A163">
        <f t="shared" si="6"/>
        <v>152</v>
      </c>
      <c r="B163" t="s">
        <v>328</v>
      </c>
    </row>
    <row r="164" spans="1:2">
      <c r="A164">
        <f t="shared" si="6"/>
        <v>153</v>
      </c>
      <c r="B164" t="s">
        <v>329</v>
      </c>
    </row>
    <row r="165" spans="1:2">
      <c r="A165">
        <f t="shared" si="6"/>
        <v>154</v>
      </c>
      <c r="B165" t="s">
        <v>330</v>
      </c>
    </row>
    <row r="166" spans="1:2">
      <c r="A166">
        <f t="shared" si="6"/>
        <v>155</v>
      </c>
      <c r="B166" t="s">
        <v>331</v>
      </c>
    </row>
    <row r="167" spans="1:2">
      <c r="A167">
        <f t="shared" si="6"/>
        <v>156</v>
      </c>
      <c r="B167" t="s">
        <v>332</v>
      </c>
    </row>
    <row r="168" spans="1:2">
      <c r="A168">
        <f t="shared" si="6"/>
        <v>157</v>
      </c>
      <c r="B168" t="s">
        <v>333</v>
      </c>
    </row>
    <row r="169" spans="1:2">
      <c r="A169">
        <f t="shared" si="6"/>
        <v>158</v>
      </c>
      <c r="B169" t="s">
        <v>334</v>
      </c>
    </row>
    <row r="170" spans="1:2">
      <c r="A170">
        <f t="shared" si="6"/>
        <v>159</v>
      </c>
      <c r="B170" t="s">
        <v>335</v>
      </c>
    </row>
    <row r="171" spans="1:2">
      <c r="A171">
        <f t="shared" si="6"/>
        <v>160</v>
      </c>
      <c r="B171" t="s">
        <v>336</v>
      </c>
    </row>
    <row r="172" spans="1:2">
      <c r="A172">
        <f t="shared" si="6"/>
        <v>161</v>
      </c>
      <c r="B172" t="s">
        <v>337</v>
      </c>
    </row>
    <row r="173" spans="1:2">
      <c r="A173">
        <f t="shared" si="6"/>
        <v>162</v>
      </c>
      <c r="B173" t="s">
        <v>338</v>
      </c>
    </row>
    <row r="174" spans="1:2">
      <c r="A174">
        <f t="shared" si="6"/>
        <v>163</v>
      </c>
      <c r="B174" t="s">
        <v>339</v>
      </c>
    </row>
    <row r="175" spans="1:2">
      <c r="A175">
        <f t="shared" si="6"/>
        <v>164</v>
      </c>
      <c r="B175" t="s">
        <v>340</v>
      </c>
    </row>
    <row r="176" spans="1:2">
      <c r="A176">
        <f t="shared" si="6"/>
        <v>165</v>
      </c>
      <c r="B176" t="s">
        <v>341</v>
      </c>
    </row>
    <row r="177" spans="1:2">
      <c r="A177">
        <f t="shared" si="6"/>
        <v>166</v>
      </c>
      <c r="B177" t="s">
        <v>342</v>
      </c>
    </row>
    <row r="178" spans="1:2">
      <c r="A178">
        <f t="shared" si="6"/>
        <v>167</v>
      </c>
      <c r="B178" t="s">
        <v>343</v>
      </c>
    </row>
    <row r="179" spans="1:2">
      <c r="A179">
        <f t="shared" si="6"/>
        <v>168</v>
      </c>
      <c r="B179" t="s">
        <v>344</v>
      </c>
    </row>
    <row r="180" spans="1:2">
      <c r="A180">
        <f t="shared" si="6"/>
        <v>169</v>
      </c>
      <c r="B180" t="s">
        <v>345</v>
      </c>
    </row>
    <row r="181" spans="1:2">
      <c r="A181">
        <f t="shared" si="6"/>
        <v>170</v>
      </c>
      <c r="B181" t="s">
        <v>346</v>
      </c>
    </row>
    <row r="182" spans="1:2">
      <c r="A182">
        <f t="shared" si="6"/>
        <v>171</v>
      </c>
      <c r="B182" t="s">
        <v>347</v>
      </c>
    </row>
    <row r="183" spans="1:2">
      <c r="A183">
        <f t="shared" si="6"/>
        <v>172</v>
      </c>
      <c r="B183" t="s">
        <v>348</v>
      </c>
    </row>
    <row r="184" spans="1:2">
      <c r="A184">
        <f t="shared" si="6"/>
        <v>173</v>
      </c>
      <c r="B184" t="s">
        <v>349</v>
      </c>
    </row>
    <row r="185" spans="1:2">
      <c r="A185">
        <f t="shared" si="6"/>
        <v>174</v>
      </c>
      <c r="B185" t="s">
        <v>350</v>
      </c>
    </row>
    <row r="186" spans="1:2">
      <c r="A186">
        <f t="shared" si="6"/>
        <v>175</v>
      </c>
      <c r="B186" t="s">
        <v>351</v>
      </c>
    </row>
    <row r="187" spans="1:2">
      <c r="A187">
        <f t="shared" si="6"/>
        <v>176</v>
      </c>
      <c r="B187" t="s">
        <v>352</v>
      </c>
    </row>
    <row r="188" spans="1:2">
      <c r="A188">
        <f t="shared" si="6"/>
        <v>177</v>
      </c>
      <c r="B188" t="s">
        <v>353</v>
      </c>
    </row>
    <row r="189" spans="1:2">
      <c r="A189">
        <f t="shared" si="6"/>
        <v>178</v>
      </c>
      <c r="B189" t="s">
        <v>354</v>
      </c>
    </row>
    <row r="190" spans="1:2">
      <c r="A190">
        <f t="shared" si="6"/>
        <v>179</v>
      </c>
      <c r="B190" t="s">
        <v>355</v>
      </c>
    </row>
    <row r="191" spans="1:2">
      <c r="A191">
        <f t="shared" si="6"/>
        <v>180</v>
      </c>
      <c r="B191" t="s">
        <v>356</v>
      </c>
    </row>
    <row r="192" spans="1:2">
      <c r="A192">
        <f t="shared" si="6"/>
        <v>181</v>
      </c>
      <c r="B192" t="s">
        <v>357</v>
      </c>
    </row>
    <row r="193" spans="1:2">
      <c r="A193">
        <f t="shared" si="6"/>
        <v>182</v>
      </c>
      <c r="B193" t="s">
        <v>358</v>
      </c>
    </row>
    <row r="194" spans="1:2">
      <c r="A194">
        <f t="shared" si="6"/>
        <v>183</v>
      </c>
      <c r="B194" t="s">
        <v>359</v>
      </c>
    </row>
    <row r="195" spans="1:2">
      <c r="A195">
        <f t="shared" si="6"/>
        <v>184</v>
      </c>
      <c r="B195" t="s">
        <v>360</v>
      </c>
    </row>
    <row r="196" spans="1:2">
      <c r="A196">
        <f t="shared" si="6"/>
        <v>185</v>
      </c>
      <c r="B196" t="s">
        <v>361</v>
      </c>
    </row>
    <row r="197" spans="1:2">
      <c r="A197">
        <f t="shared" si="6"/>
        <v>186</v>
      </c>
      <c r="B197" t="s">
        <v>362</v>
      </c>
    </row>
    <row r="198" spans="1:2">
      <c r="A198">
        <f t="shared" si="6"/>
        <v>187</v>
      </c>
      <c r="B198" t="s">
        <v>363</v>
      </c>
    </row>
    <row r="199" spans="1:2">
      <c r="A199">
        <f t="shared" si="6"/>
        <v>188</v>
      </c>
      <c r="B199" t="s">
        <v>364</v>
      </c>
    </row>
    <row r="200" spans="1:2">
      <c r="A200">
        <f t="shared" si="6"/>
        <v>189</v>
      </c>
      <c r="B200" t="s">
        <v>365</v>
      </c>
    </row>
    <row r="201" spans="1:2">
      <c r="A201">
        <f t="shared" si="6"/>
        <v>190</v>
      </c>
      <c r="B201" t="s">
        <v>366</v>
      </c>
    </row>
    <row r="202" spans="1:2">
      <c r="A202">
        <f t="shared" si="6"/>
        <v>191</v>
      </c>
      <c r="B202" t="s">
        <v>367</v>
      </c>
    </row>
    <row r="203" spans="1:2">
      <c r="A203">
        <f t="shared" si="6"/>
        <v>192</v>
      </c>
      <c r="B203" t="s">
        <v>368</v>
      </c>
    </row>
    <row r="204" spans="1:2">
      <c r="A204">
        <f t="shared" ref="A204:A267" si="7">ROW()-11</f>
        <v>193</v>
      </c>
      <c r="B204" t="s">
        <v>369</v>
      </c>
    </row>
    <row r="205" spans="1:2">
      <c r="A205">
        <f t="shared" si="7"/>
        <v>194</v>
      </c>
      <c r="B205" t="s">
        <v>370</v>
      </c>
    </row>
    <row r="206" spans="1:2">
      <c r="A206">
        <f t="shared" si="7"/>
        <v>195</v>
      </c>
      <c r="B206" t="s">
        <v>371</v>
      </c>
    </row>
    <row r="207" spans="1:2">
      <c r="A207">
        <f t="shared" si="7"/>
        <v>196</v>
      </c>
      <c r="B207" t="s">
        <v>372</v>
      </c>
    </row>
    <row r="208" spans="1:2">
      <c r="A208">
        <f t="shared" si="7"/>
        <v>197</v>
      </c>
      <c r="B208" t="s">
        <v>373</v>
      </c>
    </row>
    <row r="209" spans="1:2">
      <c r="A209">
        <f t="shared" si="7"/>
        <v>198</v>
      </c>
      <c r="B209" t="s">
        <v>374</v>
      </c>
    </row>
    <row r="210" spans="1:2">
      <c r="A210">
        <f t="shared" si="7"/>
        <v>199</v>
      </c>
      <c r="B210" t="s">
        <v>375</v>
      </c>
    </row>
    <row r="211" spans="1:2">
      <c r="A211">
        <f t="shared" si="7"/>
        <v>200</v>
      </c>
      <c r="B211" t="s">
        <v>376</v>
      </c>
    </row>
    <row r="212" spans="1:2">
      <c r="A212">
        <f t="shared" si="7"/>
        <v>201</v>
      </c>
      <c r="B212" t="s">
        <v>377</v>
      </c>
    </row>
    <row r="213" spans="1:2">
      <c r="A213">
        <f t="shared" si="7"/>
        <v>202</v>
      </c>
      <c r="B213" t="s">
        <v>378</v>
      </c>
    </row>
    <row r="214" spans="1:2">
      <c r="A214">
        <f t="shared" si="7"/>
        <v>203</v>
      </c>
      <c r="B214" t="s">
        <v>379</v>
      </c>
    </row>
    <row r="215" spans="1:2">
      <c r="A215">
        <f t="shared" si="7"/>
        <v>204</v>
      </c>
      <c r="B215" t="s">
        <v>380</v>
      </c>
    </row>
    <row r="216" spans="1:2">
      <c r="A216">
        <f t="shared" si="7"/>
        <v>205</v>
      </c>
      <c r="B216" t="s">
        <v>381</v>
      </c>
    </row>
    <row r="217" spans="1:2">
      <c r="A217">
        <f t="shared" si="7"/>
        <v>206</v>
      </c>
      <c r="B217" t="s">
        <v>382</v>
      </c>
    </row>
    <row r="218" spans="1:2">
      <c r="A218">
        <f t="shared" si="7"/>
        <v>207</v>
      </c>
      <c r="B218" t="s">
        <v>383</v>
      </c>
    </row>
    <row r="219" spans="1:2">
      <c r="A219">
        <f t="shared" si="7"/>
        <v>208</v>
      </c>
      <c r="B219" t="s">
        <v>384</v>
      </c>
    </row>
    <row r="220" spans="1:2">
      <c r="A220">
        <f t="shared" si="7"/>
        <v>209</v>
      </c>
      <c r="B220" t="s">
        <v>385</v>
      </c>
    </row>
    <row r="221" spans="1:2">
      <c r="A221">
        <f t="shared" si="7"/>
        <v>210</v>
      </c>
      <c r="B221" t="s">
        <v>386</v>
      </c>
    </row>
    <row r="222" spans="1:2">
      <c r="A222">
        <f t="shared" si="7"/>
        <v>211</v>
      </c>
      <c r="B222" t="s">
        <v>387</v>
      </c>
    </row>
    <row r="223" spans="1:2">
      <c r="A223">
        <f t="shared" si="7"/>
        <v>212</v>
      </c>
      <c r="B223" t="s">
        <v>388</v>
      </c>
    </row>
    <row r="224" spans="1:2">
      <c r="A224">
        <f t="shared" si="7"/>
        <v>213</v>
      </c>
      <c r="B224" t="s">
        <v>389</v>
      </c>
    </row>
    <row r="225" spans="1:2">
      <c r="A225">
        <f t="shared" si="7"/>
        <v>214</v>
      </c>
      <c r="B225" t="s">
        <v>390</v>
      </c>
    </row>
    <row r="226" spans="1:2">
      <c r="A226">
        <f t="shared" si="7"/>
        <v>215</v>
      </c>
      <c r="B226" t="s">
        <v>391</v>
      </c>
    </row>
    <row r="227" spans="1:2">
      <c r="A227">
        <f t="shared" si="7"/>
        <v>216</v>
      </c>
      <c r="B227" t="s">
        <v>392</v>
      </c>
    </row>
    <row r="228" spans="1:2">
      <c r="A228">
        <f t="shared" si="7"/>
        <v>217</v>
      </c>
      <c r="B228" t="s">
        <v>393</v>
      </c>
    </row>
    <row r="229" spans="1:2">
      <c r="A229">
        <f t="shared" si="7"/>
        <v>218</v>
      </c>
      <c r="B229" t="s">
        <v>394</v>
      </c>
    </row>
    <row r="230" spans="1:2">
      <c r="A230">
        <f t="shared" si="7"/>
        <v>219</v>
      </c>
      <c r="B230" t="s">
        <v>395</v>
      </c>
    </row>
    <row r="231" spans="1:2">
      <c r="A231">
        <f t="shared" si="7"/>
        <v>220</v>
      </c>
      <c r="B231" t="s">
        <v>396</v>
      </c>
    </row>
    <row r="232" spans="1:2">
      <c r="A232">
        <f t="shared" si="7"/>
        <v>221</v>
      </c>
      <c r="B232" t="s">
        <v>397</v>
      </c>
    </row>
    <row r="233" spans="1:2">
      <c r="A233">
        <f t="shared" si="7"/>
        <v>222</v>
      </c>
      <c r="B233" t="s">
        <v>398</v>
      </c>
    </row>
    <row r="234" spans="1:2">
      <c r="A234">
        <f t="shared" si="7"/>
        <v>223</v>
      </c>
      <c r="B234" t="s">
        <v>399</v>
      </c>
    </row>
    <row r="235" spans="1:2">
      <c r="A235">
        <f t="shared" si="7"/>
        <v>224</v>
      </c>
      <c r="B235" t="s">
        <v>400</v>
      </c>
    </row>
    <row r="236" spans="1:2">
      <c r="A236">
        <f t="shared" si="7"/>
        <v>225</v>
      </c>
      <c r="B236" t="s">
        <v>401</v>
      </c>
    </row>
    <row r="237" spans="1:2">
      <c r="A237">
        <f t="shared" si="7"/>
        <v>226</v>
      </c>
      <c r="B237" t="s">
        <v>402</v>
      </c>
    </row>
    <row r="238" spans="1:2">
      <c r="A238">
        <f t="shared" si="7"/>
        <v>227</v>
      </c>
      <c r="B238" t="s">
        <v>403</v>
      </c>
    </row>
    <row r="239" spans="1:2">
      <c r="A239">
        <f t="shared" si="7"/>
        <v>228</v>
      </c>
      <c r="B239" t="s">
        <v>404</v>
      </c>
    </row>
    <row r="240" spans="1:2">
      <c r="A240">
        <f t="shared" si="7"/>
        <v>229</v>
      </c>
      <c r="B240" t="s">
        <v>405</v>
      </c>
    </row>
    <row r="241" spans="1:2">
      <c r="A241">
        <f t="shared" si="7"/>
        <v>230</v>
      </c>
      <c r="B241" t="s">
        <v>406</v>
      </c>
    </row>
    <row r="242" spans="1:2">
      <c r="A242">
        <f t="shared" si="7"/>
        <v>231</v>
      </c>
      <c r="B242" t="s">
        <v>407</v>
      </c>
    </row>
    <row r="243" spans="1:2">
      <c r="A243">
        <f t="shared" si="7"/>
        <v>232</v>
      </c>
      <c r="B243" t="s">
        <v>408</v>
      </c>
    </row>
    <row r="244" spans="1:2">
      <c r="A244">
        <f t="shared" si="7"/>
        <v>233</v>
      </c>
      <c r="B244" t="s">
        <v>409</v>
      </c>
    </row>
    <row r="245" spans="1:2">
      <c r="A245">
        <f t="shared" si="7"/>
        <v>234</v>
      </c>
      <c r="B245" t="s">
        <v>410</v>
      </c>
    </row>
    <row r="246" spans="1:2">
      <c r="A246">
        <f t="shared" si="7"/>
        <v>235</v>
      </c>
      <c r="B246" t="s">
        <v>411</v>
      </c>
    </row>
    <row r="247" spans="1:2">
      <c r="A247">
        <f t="shared" si="7"/>
        <v>236</v>
      </c>
      <c r="B247" t="s">
        <v>412</v>
      </c>
    </row>
    <row r="248" spans="1:2">
      <c r="A248">
        <f t="shared" si="7"/>
        <v>237</v>
      </c>
      <c r="B248" t="s">
        <v>413</v>
      </c>
    </row>
    <row r="249" spans="1:2">
      <c r="A249">
        <f t="shared" si="7"/>
        <v>238</v>
      </c>
      <c r="B249" t="s">
        <v>414</v>
      </c>
    </row>
    <row r="250" spans="1:2">
      <c r="A250">
        <f t="shared" si="7"/>
        <v>239</v>
      </c>
      <c r="B250" t="s">
        <v>415</v>
      </c>
    </row>
    <row r="251" spans="1:2">
      <c r="A251">
        <f t="shared" si="7"/>
        <v>240</v>
      </c>
      <c r="B251" t="s">
        <v>416</v>
      </c>
    </row>
    <row r="252" spans="1:2">
      <c r="A252">
        <f t="shared" si="7"/>
        <v>241</v>
      </c>
      <c r="B252" t="s">
        <v>417</v>
      </c>
    </row>
    <row r="253" spans="1:2">
      <c r="A253">
        <f t="shared" si="7"/>
        <v>242</v>
      </c>
      <c r="B253" t="s">
        <v>418</v>
      </c>
    </row>
    <row r="254" spans="1:2">
      <c r="A254">
        <f t="shared" si="7"/>
        <v>243</v>
      </c>
      <c r="B254" t="s">
        <v>419</v>
      </c>
    </row>
    <row r="255" spans="1:2">
      <c r="A255">
        <f t="shared" si="7"/>
        <v>244</v>
      </c>
      <c r="B255" t="s">
        <v>420</v>
      </c>
    </row>
    <row r="256" spans="1:2">
      <c r="A256">
        <f t="shared" si="7"/>
        <v>245</v>
      </c>
      <c r="B256" t="s">
        <v>421</v>
      </c>
    </row>
    <row r="257" spans="1:2">
      <c r="A257">
        <f t="shared" si="7"/>
        <v>246</v>
      </c>
      <c r="B257" t="s">
        <v>422</v>
      </c>
    </row>
    <row r="258" spans="1:2">
      <c r="A258">
        <f t="shared" si="7"/>
        <v>247</v>
      </c>
      <c r="B258" t="s">
        <v>423</v>
      </c>
    </row>
    <row r="259" spans="1:2">
      <c r="A259">
        <f t="shared" si="7"/>
        <v>248</v>
      </c>
      <c r="B259" t="s">
        <v>424</v>
      </c>
    </row>
    <row r="260" spans="1:2">
      <c r="A260">
        <f t="shared" si="7"/>
        <v>249</v>
      </c>
      <c r="B260" t="s">
        <v>425</v>
      </c>
    </row>
    <row r="261" spans="1:2">
      <c r="A261">
        <f t="shared" si="7"/>
        <v>250</v>
      </c>
      <c r="B261" t="s">
        <v>426</v>
      </c>
    </row>
    <row r="262" spans="1:2">
      <c r="A262">
        <f t="shared" si="7"/>
        <v>251</v>
      </c>
      <c r="B262" t="s">
        <v>427</v>
      </c>
    </row>
    <row r="263" spans="1:2">
      <c r="A263">
        <f t="shared" si="7"/>
        <v>252</v>
      </c>
      <c r="B263" t="s">
        <v>428</v>
      </c>
    </row>
    <row r="264" spans="1:2">
      <c r="A264">
        <f t="shared" si="7"/>
        <v>253</v>
      </c>
      <c r="B264" t="s">
        <v>429</v>
      </c>
    </row>
    <row r="265" spans="1:2">
      <c r="A265">
        <f t="shared" si="7"/>
        <v>254</v>
      </c>
      <c r="B265" t="s">
        <v>430</v>
      </c>
    </row>
    <row r="266" spans="1:2">
      <c r="A266">
        <f t="shared" si="7"/>
        <v>255</v>
      </c>
      <c r="B266" t="s">
        <v>431</v>
      </c>
    </row>
    <row r="267" spans="1:2">
      <c r="A267">
        <f t="shared" si="7"/>
        <v>256</v>
      </c>
      <c r="B267" t="s">
        <v>432</v>
      </c>
    </row>
    <row r="268" spans="1:2">
      <c r="A268">
        <f t="shared" ref="A268:A331" si="8">ROW()-11</f>
        <v>257</v>
      </c>
      <c r="B268" t="s">
        <v>433</v>
      </c>
    </row>
    <row r="269" spans="1:2">
      <c r="A269">
        <f t="shared" si="8"/>
        <v>258</v>
      </c>
      <c r="B269" t="s">
        <v>434</v>
      </c>
    </row>
    <row r="270" spans="1:2">
      <c r="A270">
        <f t="shared" si="8"/>
        <v>259</v>
      </c>
      <c r="B270" t="s">
        <v>435</v>
      </c>
    </row>
    <row r="271" spans="1:2">
      <c r="A271">
        <f t="shared" si="8"/>
        <v>260</v>
      </c>
      <c r="B271" t="s">
        <v>436</v>
      </c>
    </row>
    <row r="272" spans="1:2">
      <c r="A272">
        <f t="shared" si="8"/>
        <v>261</v>
      </c>
      <c r="B272" t="s">
        <v>437</v>
      </c>
    </row>
    <row r="273" spans="1:2">
      <c r="A273">
        <f t="shared" si="8"/>
        <v>262</v>
      </c>
      <c r="B273" t="s">
        <v>438</v>
      </c>
    </row>
    <row r="274" spans="1:2">
      <c r="A274">
        <f t="shared" si="8"/>
        <v>263</v>
      </c>
      <c r="B274" t="s">
        <v>439</v>
      </c>
    </row>
    <row r="275" spans="1:2">
      <c r="A275">
        <f t="shared" si="8"/>
        <v>264</v>
      </c>
      <c r="B275" t="s">
        <v>440</v>
      </c>
    </row>
    <row r="276" spans="1:2">
      <c r="A276">
        <f t="shared" si="8"/>
        <v>265</v>
      </c>
      <c r="B276" t="s">
        <v>441</v>
      </c>
    </row>
    <row r="277" spans="1:2">
      <c r="A277">
        <f t="shared" si="8"/>
        <v>266</v>
      </c>
      <c r="B277" t="s">
        <v>442</v>
      </c>
    </row>
    <row r="278" spans="1:2">
      <c r="A278">
        <f t="shared" si="8"/>
        <v>267</v>
      </c>
      <c r="B278" t="s">
        <v>443</v>
      </c>
    </row>
    <row r="279" spans="1:2">
      <c r="A279">
        <f t="shared" si="8"/>
        <v>268</v>
      </c>
      <c r="B279" t="s">
        <v>444</v>
      </c>
    </row>
    <row r="280" spans="1:2">
      <c r="A280">
        <f t="shared" si="8"/>
        <v>269</v>
      </c>
      <c r="B280" t="s">
        <v>445</v>
      </c>
    </row>
    <row r="281" spans="1:2">
      <c r="A281">
        <f t="shared" si="8"/>
        <v>270</v>
      </c>
      <c r="B281" t="s">
        <v>446</v>
      </c>
    </row>
    <row r="282" spans="1:2">
      <c r="A282">
        <f t="shared" si="8"/>
        <v>271</v>
      </c>
      <c r="B282" t="s">
        <v>447</v>
      </c>
    </row>
    <row r="283" spans="1:2">
      <c r="A283">
        <f t="shared" si="8"/>
        <v>272</v>
      </c>
      <c r="B283" t="s">
        <v>448</v>
      </c>
    </row>
    <row r="284" spans="1:2">
      <c r="A284">
        <f t="shared" si="8"/>
        <v>273</v>
      </c>
      <c r="B284" t="s">
        <v>449</v>
      </c>
    </row>
    <row r="285" spans="1:2">
      <c r="A285">
        <f t="shared" si="8"/>
        <v>274</v>
      </c>
      <c r="B285" t="s">
        <v>450</v>
      </c>
    </row>
    <row r="286" spans="1:2">
      <c r="A286">
        <f t="shared" si="8"/>
        <v>275</v>
      </c>
      <c r="B286" t="s">
        <v>451</v>
      </c>
    </row>
    <row r="287" spans="1:2">
      <c r="A287">
        <f t="shared" si="8"/>
        <v>276</v>
      </c>
      <c r="B287" t="s">
        <v>452</v>
      </c>
    </row>
    <row r="288" spans="1:2">
      <c r="A288">
        <f t="shared" si="8"/>
        <v>277</v>
      </c>
      <c r="B288" t="s">
        <v>453</v>
      </c>
    </row>
    <row r="289" spans="1:2">
      <c r="A289">
        <f t="shared" si="8"/>
        <v>278</v>
      </c>
      <c r="B289" t="s">
        <v>454</v>
      </c>
    </row>
    <row r="290" spans="1:2">
      <c r="A290">
        <f t="shared" si="8"/>
        <v>279</v>
      </c>
      <c r="B290" t="s">
        <v>455</v>
      </c>
    </row>
    <row r="291" spans="1:2">
      <c r="A291">
        <f t="shared" si="8"/>
        <v>280</v>
      </c>
      <c r="B291" t="s">
        <v>456</v>
      </c>
    </row>
    <row r="292" spans="1:2">
      <c r="A292">
        <f t="shared" si="8"/>
        <v>281</v>
      </c>
      <c r="B292" t="s">
        <v>457</v>
      </c>
    </row>
    <row r="293" spans="1:2">
      <c r="A293">
        <f t="shared" si="8"/>
        <v>282</v>
      </c>
      <c r="B293" t="s">
        <v>458</v>
      </c>
    </row>
    <row r="294" spans="1:2">
      <c r="A294">
        <f t="shared" si="8"/>
        <v>283</v>
      </c>
      <c r="B294" t="s">
        <v>459</v>
      </c>
    </row>
    <row r="295" spans="1:2">
      <c r="A295">
        <f t="shared" si="8"/>
        <v>284</v>
      </c>
      <c r="B295" t="s">
        <v>460</v>
      </c>
    </row>
    <row r="296" spans="1:2">
      <c r="A296">
        <f t="shared" si="8"/>
        <v>285</v>
      </c>
      <c r="B296" t="s">
        <v>461</v>
      </c>
    </row>
    <row r="297" spans="1:2">
      <c r="A297">
        <f t="shared" si="8"/>
        <v>286</v>
      </c>
      <c r="B297" t="s">
        <v>462</v>
      </c>
    </row>
    <row r="298" spans="1:2">
      <c r="A298">
        <f t="shared" si="8"/>
        <v>287</v>
      </c>
      <c r="B298" t="s">
        <v>463</v>
      </c>
    </row>
    <row r="299" spans="1:2">
      <c r="A299">
        <f t="shared" si="8"/>
        <v>288</v>
      </c>
      <c r="B299" t="s">
        <v>464</v>
      </c>
    </row>
    <row r="300" spans="1:2">
      <c r="A300">
        <f t="shared" si="8"/>
        <v>289</v>
      </c>
      <c r="B300" t="s">
        <v>465</v>
      </c>
    </row>
    <row r="301" spans="1:2">
      <c r="A301">
        <f t="shared" si="8"/>
        <v>290</v>
      </c>
      <c r="B301" t="s">
        <v>466</v>
      </c>
    </row>
    <row r="302" spans="1:2">
      <c r="A302">
        <f t="shared" si="8"/>
        <v>291</v>
      </c>
      <c r="B302" t="s">
        <v>467</v>
      </c>
    </row>
    <row r="303" spans="1:2">
      <c r="A303">
        <f t="shared" si="8"/>
        <v>292</v>
      </c>
      <c r="B303" t="s">
        <v>468</v>
      </c>
    </row>
    <row r="304" spans="1:2">
      <c r="A304">
        <f t="shared" si="8"/>
        <v>293</v>
      </c>
      <c r="B304" t="s">
        <v>469</v>
      </c>
    </row>
    <row r="305" spans="1:2">
      <c r="A305">
        <f t="shared" si="8"/>
        <v>294</v>
      </c>
      <c r="B305" t="s">
        <v>470</v>
      </c>
    </row>
    <row r="306" spans="1:2">
      <c r="A306">
        <f t="shared" si="8"/>
        <v>295</v>
      </c>
      <c r="B306" t="s">
        <v>471</v>
      </c>
    </row>
    <row r="307" spans="1:2">
      <c r="A307">
        <f t="shared" si="8"/>
        <v>296</v>
      </c>
      <c r="B307" t="s">
        <v>472</v>
      </c>
    </row>
    <row r="308" spans="1:2">
      <c r="A308">
        <f t="shared" si="8"/>
        <v>297</v>
      </c>
      <c r="B308" t="s">
        <v>473</v>
      </c>
    </row>
    <row r="309" spans="1:2">
      <c r="A309">
        <f t="shared" si="8"/>
        <v>298</v>
      </c>
      <c r="B309" t="s">
        <v>474</v>
      </c>
    </row>
    <row r="310" spans="1:2">
      <c r="A310">
        <f t="shared" si="8"/>
        <v>299</v>
      </c>
      <c r="B310" t="s">
        <v>475</v>
      </c>
    </row>
    <row r="311" spans="1:2">
      <c r="A311">
        <f t="shared" si="8"/>
        <v>300</v>
      </c>
      <c r="B311" t="s">
        <v>476</v>
      </c>
    </row>
    <row r="312" spans="1:2">
      <c r="A312">
        <f t="shared" si="8"/>
        <v>301</v>
      </c>
      <c r="B312" t="s">
        <v>477</v>
      </c>
    </row>
    <row r="313" spans="1:2">
      <c r="A313">
        <f t="shared" si="8"/>
        <v>302</v>
      </c>
      <c r="B313" t="s">
        <v>478</v>
      </c>
    </row>
    <row r="314" spans="1:2">
      <c r="A314">
        <f t="shared" si="8"/>
        <v>303</v>
      </c>
      <c r="B314" t="s">
        <v>479</v>
      </c>
    </row>
    <row r="315" spans="1:2">
      <c r="A315">
        <f t="shared" si="8"/>
        <v>304</v>
      </c>
      <c r="B315" t="s">
        <v>480</v>
      </c>
    </row>
    <row r="316" spans="1:2">
      <c r="A316">
        <f t="shared" si="8"/>
        <v>305</v>
      </c>
      <c r="B316" t="s">
        <v>481</v>
      </c>
    </row>
    <row r="317" spans="1:2">
      <c r="A317">
        <f t="shared" si="8"/>
        <v>306</v>
      </c>
      <c r="B317" t="s">
        <v>482</v>
      </c>
    </row>
    <row r="318" spans="1:2">
      <c r="A318">
        <f t="shared" si="8"/>
        <v>307</v>
      </c>
      <c r="B318" t="s">
        <v>483</v>
      </c>
    </row>
    <row r="319" spans="1:2">
      <c r="A319">
        <f t="shared" si="8"/>
        <v>308</v>
      </c>
      <c r="B319" t="s">
        <v>484</v>
      </c>
    </row>
    <row r="320" spans="1:2">
      <c r="A320">
        <f t="shared" si="8"/>
        <v>309</v>
      </c>
      <c r="B320" t="s">
        <v>485</v>
      </c>
    </row>
    <row r="321" spans="1:2">
      <c r="A321">
        <f t="shared" si="8"/>
        <v>310</v>
      </c>
      <c r="B321" t="s">
        <v>486</v>
      </c>
    </row>
    <row r="322" spans="1:2">
      <c r="A322">
        <f t="shared" si="8"/>
        <v>311</v>
      </c>
      <c r="B322" t="s">
        <v>487</v>
      </c>
    </row>
    <row r="323" spans="1:2">
      <c r="A323">
        <f t="shared" si="8"/>
        <v>312</v>
      </c>
      <c r="B323" t="s">
        <v>488</v>
      </c>
    </row>
    <row r="324" spans="1:2">
      <c r="A324">
        <f t="shared" si="8"/>
        <v>313</v>
      </c>
      <c r="B324" t="s">
        <v>489</v>
      </c>
    </row>
    <row r="325" spans="1:2">
      <c r="A325">
        <f t="shared" si="8"/>
        <v>314</v>
      </c>
      <c r="B325" t="s">
        <v>490</v>
      </c>
    </row>
    <row r="326" spans="1:2">
      <c r="A326">
        <f t="shared" si="8"/>
        <v>315</v>
      </c>
      <c r="B326" t="s">
        <v>491</v>
      </c>
    </row>
    <row r="327" spans="1:2">
      <c r="A327">
        <f t="shared" si="8"/>
        <v>316</v>
      </c>
      <c r="B327" t="s">
        <v>492</v>
      </c>
    </row>
    <row r="328" spans="1:2">
      <c r="A328">
        <f t="shared" si="8"/>
        <v>317</v>
      </c>
      <c r="B328" t="s">
        <v>493</v>
      </c>
    </row>
    <row r="329" spans="1:2">
      <c r="A329">
        <f t="shared" si="8"/>
        <v>318</v>
      </c>
      <c r="B329" t="s">
        <v>494</v>
      </c>
    </row>
    <row r="330" spans="1:2">
      <c r="A330">
        <f t="shared" si="8"/>
        <v>319</v>
      </c>
      <c r="B330" t="s">
        <v>495</v>
      </c>
    </row>
    <row r="331" spans="1:2">
      <c r="A331">
        <f t="shared" si="8"/>
        <v>320</v>
      </c>
      <c r="B331" t="s">
        <v>496</v>
      </c>
    </row>
    <row r="332" spans="1:2">
      <c r="A332">
        <f t="shared" ref="A332:A395" si="9">ROW()-11</f>
        <v>321</v>
      </c>
      <c r="B332" t="s">
        <v>497</v>
      </c>
    </row>
    <row r="333" spans="1:2">
      <c r="A333">
        <f t="shared" si="9"/>
        <v>322</v>
      </c>
      <c r="B333" t="s">
        <v>498</v>
      </c>
    </row>
    <row r="334" spans="1:2">
      <c r="A334">
        <f t="shared" si="9"/>
        <v>323</v>
      </c>
      <c r="B334" t="s">
        <v>499</v>
      </c>
    </row>
    <row r="335" spans="1:2">
      <c r="A335">
        <f t="shared" si="9"/>
        <v>324</v>
      </c>
      <c r="B335" t="s">
        <v>500</v>
      </c>
    </row>
    <row r="336" spans="1:2">
      <c r="A336">
        <f t="shared" si="9"/>
        <v>325</v>
      </c>
      <c r="B336" t="s">
        <v>501</v>
      </c>
    </row>
    <row r="337" spans="1:2">
      <c r="A337">
        <f t="shared" si="9"/>
        <v>326</v>
      </c>
      <c r="B337" t="s">
        <v>502</v>
      </c>
    </row>
    <row r="338" spans="1:2">
      <c r="A338">
        <f t="shared" si="9"/>
        <v>327</v>
      </c>
      <c r="B338" t="s">
        <v>503</v>
      </c>
    </row>
    <row r="339" spans="1:2">
      <c r="A339">
        <f t="shared" si="9"/>
        <v>328</v>
      </c>
      <c r="B339" t="s">
        <v>504</v>
      </c>
    </row>
    <row r="340" spans="1:2">
      <c r="A340">
        <f t="shared" si="9"/>
        <v>329</v>
      </c>
      <c r="B340" t="s">
        <v>505</v>
      </c>
    </row>
    <row r="341" spans="1:2">
      <c r="A341">
        <f t="shared" si="9"/>
        <v>330</v>
      </c>
      <c r="B341" t="s">
        <v>506</v>
      </c>
    </row>
    <row r="342" spans="1:2">
      <c r="A342">
        <f t="shared" si="9"/>
        <v>331</v>
      </c>
      <c r="B342" t="s">
        <v>507</v>
      </c>
    </row>
    <row r="343" spans="1:2">
      <c r="A343">
        <f t="shared" si="9"/>
        <v>332</v>
      </c>
      <c r="B343" t="s">
        <v>508</v>
      </c>
    </row>
    <row r="344" spans="1:2">
      <c r="A344">
        <f t="shared" si="9"/>
        <v>333</v>
      </c>
      <c r="B344" t="s">
        <v>509</v>
      </c>
    </row>
    <row r="345" spans="1:2">
      <c r="A345">
        <f t="shared" si="9"/>
        <v>334</v>
      </c>
      <c r="B345" t="s">
        <v>510</v>
      </c>
    </row>
    <row r="346" spans="1:2">
      <c r="A346">
        <f t="shared" si="9"/>
        <v>335</v>
      </c>
      <c r="B346" t="s">
        <v>511</v>
      </c>
    </row>
    <row r="347" spans="1:2">
      <c r="A347">
        <f t="shared" si="9"/>
        <v>336</v>
      </c>
      <c r="B347" t="s">
        <v>512</v>
      </c>
    </row>
    <row r="348" spans="1:2">
      <c r="A348">
        <f t="shared" si="9"/>
        <v>337</v>
      </c>
      <c r="B348" t="s">
        <v>513</v>
      </c>
    </row>
    <row r="349" spans="1:2">
      <c r="A349">
        <f t="shared" si="9"/>
        <v>338</v>
      </c>
      <c r="B349" t="s">
        <v>514</v>
      </c>
    </row>
    <row r="350" spans="1:2">
      <c r="A350">
        <f t="shared" si="9"/>
        <v>339</v>
      </c>
      <c r="B350" t="s">
        <v>515</v>
      </c>
    </row>
    <row r="351" spans="1:2">
      <c r="A351">
        <f t="shared" si="9"/>
        <v>340</v>
      </c>
      <c r="B351" t="s">
        <v>516</v>
      </c>
    </row>
    <row r="352" spans="1:2">
      <c r="A352">
        <f t="shared" si="9"/>
        <v>341</v>
      </c>
      <c r="B352" t="s">
        <v>517</v>
      </c>
    </row>
    <row r="353" spans="1:2">
      <c r="A353">
        <f t="shared" si="9"/>
        <v>342</v>
      </c>
      <c r="B353" t="s">
        <v>518</v>
      </c>
    </row>
    <row r="354" spans="1:2">
      <c r="A354">
        <f t="shared" si="9"/>
        <v>343</v>
      </c>
      <c r="B354" t="s">
        <v>519</v>
      </c>
    </row>
    <row r="355" spans="1:2">
      <c r="A355">
        <f t="shared" si="9"/>
        <v>344</v>
      </c>
      <c r="B355" t="s">
        <v>520</v>
      </c>
    </row>
    <row r="356" spans="1:2">
      <c r="A356">
        <f t="shared" si="9"/>
        <v>345</v>
      </c>
      <c r="B356" t="s">
        <v>521</v>
      </c>
    </row>
    <row r="357" spans="1:2">
      <c r="A357">
        <f t="shared" si="9"/>
        <v>346</v>
      </c>
      <c r="B357" t="s">
        <v>522</v>
      </c>
    </row>
    <row r="358" spans="1:2">
      <c r="A358">
        <f t="shared" si="9"/>
        <v>347</v>
      </c>
      <c r="B358" t="s">
        <v>523</v>
      </c>
    </row>
    <row r="359" spans="1:2">
      <c r="A359">
        <f t="shared" si="9"/>
        <v>348</v>
      </c>
      <c r="B359" t="s">
        <v>524</v>
      </c>
    </row>
    <row r="360" spans="1:2">
      <c r="A360">
        <f t="shared" si="9"/>
        <v>349</v>
      </c>
      <c r="B360" t="s">
        <v>525</v>
      </c>
    </row>
    <row r="361" spans="1:2">
      <c r="A361">
        <f t="shared" si="9"/>
        <v>350</v>
      </c>
      <c r="B361" t="s">
        <v>526</v>
      </c>
    </row>
    <row r="362" spans="1:2">
      <c r="A362">
        <f t="shared" si="9"/>
        <v>351</v>
      </c>
      <c r="B362" t="s">
        <v>527</v>
      </c>
    </row>
    <row r="363" spans="1:2">
      <c r="A363">
        <f t="shared" si="9"/>
        <v>352</v>
      </c>
      <c r="B363" t="s">
        <v>528</v>
      </c>
    </row>
    <row r="364" spans="1:2">
      <c r="A364">
        <f t="shared" si="9"/>
        <v>353</v>
      </c>
      <c r="B364" t="s">
        <v>529</v>
      </c>
    </row>
    <row r="365" spans="1:2">
      <c r="A365">
        <f t="shared" si="9"/>
        <v>354</v>
      </c>
      <c r="B365" t="s">
        <v>530</v>
      </c>
    </row>
    <row r="366" spans="1:2">
      <c r="A366">
        <f t="shared" si="9"/>
        <v>355</v>
      </c>
      <c r="B366" t="s">
        <v>531</v>
      </c>
    </row>
    <row r="367" spans="1:2">
      <c r="A367">
        <f t="shared" si="9"/>
        <v>356</v>
      </c>
      <c r="B367" t="s">
        <v>532</v>
      </c>
    </row>
    <row r="368" spans="1:2">
      <c r="A368">
        <f t="shared" si="9"/>
        <v>357</v>
      </c>
      <c r="B368" t="s">
        <v>533</v>
      </c>
    </row>
    <row r="369" spans="1:2">
      <c r="A369">
        <f t="shared" si="9"/>
        <v>358</v>
      </c>
      <c r="B369" t="s">
        <v>534</v>
      </c>
    </row>
    <row r="370" spans="1:2">
      <c r="A370">
        <f t="shared" si="9"/>
        <v>359</v>
      </c>
      <c r="B370" t="s">
        <v>535</v>
      </c>
    </row>
    <row r="371" spans="1:2">
      <c r="A371">
        <f t="shared" si="9"/>
        <v>360</v>
      </c>
      <c r="B371" t="s">
        <v>536</v>
      </c>
    </row>
    <row r="372" spans="1:2">
      <c r="A372">
        <f t="shared" si="9"/>
        <v>361</v>
      </c>
      <c r="B372" t="s">
        <v>537</v>
      </c>
    </row>
    <row r="373" spans="1:2">
      <c r="A373">
        <f t="shared" si="9"/>
        <v>362</v>
      </c>
      <c r="B373" t="s">
        <v>538</v>
      </c>
    </row>
    <row r="374" spans="1:2">
      <c r="A374">
        <f t="shared" si="9"/>
        <v>363</v>
      </c>
      <c r="B374" t="s">
        <v>539</v>
      </c>
    </row>
    <row r="375" spans="1:2">
      <c r="A375">
        <f t="shared" si="9"/>
        <v>364</v>
      </c>
      <c r="B375" t="s">
        <v>540</v>
      </c>
    </row>
    <row r="376" spans="1:2">
      <c r="A376">
        <f t="shared" si="9"/>
        <v>365</v>
      </c>
      <c r="B376" t="s">
        <v>541</v>
      </c>
    </row>
    <row r="377" spans="1:2">
      <c r="A377">
        <f t="shared" si="9"/>
        <v>366</v>
      </c>
      <c r="B377" t="s">
        <v>542</v>
      </c>
    </row>
    <row r="378" spans="1:2">
      <c r="A378">
        <f t="shared" si="9"/>
        <v>367</v>
      </c>
      <c r="B378" t="s">
        <v>543</v>
      </c>
    </row>
    <row r="379" spans="1:2">
      <c r="A379">
        <f t="shared" si="9"/>
        <v>368</v>
      </c>
      <c r="B379" t="s">
        <v>544</v>
      </c>
    </row>
    <row r="380" spans="1:2">
      <c r="A380">
        <f t="shared" si="9"/>
        <v>369</v>
      </c>
      <c r="B380" t="s">
        <v>545</v>
      </c>
    </row>
    <row r="381" spans="1:2">
      <c r="A381">
        <f t="shared" si="9"/>
        <v>370</v>
      </c>
      <c r="B381" t="s">
        <v>546</v>
      </c>
    </row>
    <row r="382" spans="1:2">
      <c r="A382">
        <f t="shared" si="9"/>
        <v>371</v>
      </c>
      <c r="B382" t="s">
        <v>547</v>
      </c>
    </row>
    <row r="383" spans="1:2">
      <c r="A383">
        <f t="shared" si="9"/>
        <v>372</v>
      </c>
      <c r="B383" t="s">
        <v>548</v>
      </c>
    </row>
    <row r="384" spans="1:2">
      <c r="A384">
        <f t="shared" si="9"/>
        <v>373</v>
      </c>
      <c r="B384" t="s">
        <v>549</v>
      </c>
    </row>
    <row r="385" spans="1:2">
      <c r="A385">
        <f t="shared" si="9"/>
        <v>374</v>
      </c>
      <c r="B385" t="s">
        <v>550</v>
      </c>
    </row>
    <row r="386" spans="1:2">
      <c r="A386">
        <f t="shared" si="9"/>
        <v>375</v>
      </c>
      <c r="B386" t="s">
        <v>551</v>
      </c>
    </row>
    <row r="387" spans="1:2">
      <c r="A387">
        <f t="shared" si="9"/>
        <v>376</v>
      </c>
      <c r="B387" t="s">
        <v>552</v>
      </c>
    </row>
    <row r="388" spans="1:2">
      <c r="A388">
        <f t="shared" si="9"/>
        <v>377</v>
      </c>
      <c r="B388" t="s">
        <v>553</v>
      </c>
    </row>
    <row r="389" spans="1:2">
      <c r="A389">
        <f t="shared" si="9"/>
        <v>378</v>
      </c>
      <c r="B389" t="s">
        <v>554</v>
      </c>
    </row>
    <row r="390" spans="1:2">
      <c r="A390">
        <f t="shared" si="9"/>
        <v>379</v>
      </c>
      <c r="B390" t="s">
        <v>555</v>
      </c>
    </row>
    <row r="391" spans="1:2">
      <c r="A391">
        <f t="shared" si="9"/>
        <v>380</v>
      </c>
      <c r="B391" t="s">
        <v>556</v>
      </c>
    </row>
    <row r="392" spans="1:2">
      <c r="A392">
        <f t="shared" si="9"/>
        <v>381</v>
      </c>
      <c r="B392" t="s">
        <v>557</v>
      </c>
    </row>
    <row r="393" spans="1:2">
      <c r="A393">
        <f t="shared" si="9"/>
        <v>382</v>
      </c>
      <c r="B393" t="s">
        <v>558</v>
      </c>
    </row>
    <row r="394" spans="1:2">
      <c r="A394">
        <f t="shared" si="9"/>
        <v>383</v>
      </c>
      <c r="B394" t="s">
        <v>559</v>
      </c>
    </row>
    <row r="395" spans="1:2">
      <c r="A395">
        <f t="shared" si="9"/>
        <v>384</v>
      </c>
      <c r="B395" t="s">
        <v>560</v>
      </c>
    </row>
    <row r="396" spans="1:2">
      <c r="A396">
        <f t="shared" ref="A396:A459" si="10">ROW()-11</f>
        <v>385</v>
      </c>
      <c r="B396" t="s">
        <v>561</v>
      </c>
    </row>
    <row r="397" spans="1:2">
      <c r="A397">
        <f t="shared" si="10"/>
        <v>386</v>
      </c>
      <c r="B397" t="s">
        <v>562</v>
      </c>
    </row>
    <row r="398" spans="1:2">
      <c r="A398">
        <f t="shared" si="10"/>
        <v>387</v>
      </c>
      <c r="B398" t="s">
        <v>563</v>
      </c>
    </row>
    <row r="399" spans="1:2">
      <c r="A399">
        <f t="shared" si="10"/>
        <v>388</v>
      </c>
      <c r="B399" t="s">
        <v>564</v>
      </c>
    </row>
    <row r="400" spans="1:2">
      <c r="A400">
        <f t="shared" si="10"/>
        <v>389</v>
      </c>
      <c r="B400" t="s">
        <v>565</v>
      </c>
    </row>
    <row r="401" spans="1:2">
      <c r="A401">
        <f t="shared" si="10"/>
        <v>390</v>
      </c>
      <c r="B401" t="s">
        <v>566</v>
      </c>
    </row>
    <row r="402" spans="1:2">
      <c r="A402">
        <f t="shared" si="10"/>
        <v>391</v>
      </c>
      <c r="B402" t="s">
        <v>567</v>
      </c>
    </row>
    <row r="403" spans="1:2">
      <c r="A403">
        <f t="shared" si="10"/>
        <v>392</v>
      </c>
      <c r="B403" t="s">
        <v>568</v>
      </c>
    </row>
    <row r="404" spans="1:2">
      <c r="A404">
        <f t="shared" si="10"/>
        <v>393</v>
      </c>
      <c r="B404" t="s">
        <v>569</v>
      </c>
    </row>
    <row r="405" spans="1:2">
      <c r="A405">
        <f t="shared" si="10"/>
        <v>394</v>
      </c>
      <c r="B405" t="s">
        <v>570</v>
      </c>
    </row>
    <row r="406" spans="1:2">
      <c r="A406">
        <f t="shared" si="10"/>
        <v>395</v>
      </c>
      <c r="B406" t="s">
        <v>571</v>
      </c>
    </row>
    <row r="407" spans="1:2">
      <c r="A407">
        <f t="shared" si="10"/>
        <v>396</v>
      </c>
      <c r="B407" t="s">
        <v>572</v>
      </c>
    </row>
    <row r="408" spans="1:2">
      <c r="A408">
        <f t="shared" si="10"/>
        <v>397</v>
      </c>
      <c r="B408" t="s">
        <v>573</v>
      </c>
    </row>
    <row r="409" spans="1:2">
      <c r="A409">
        <f t="shared" si="10"/>
        <v>398</v>
      </c>
      <c r="B409" t="s">
        <v>574</v>
      </c>
    </row>
    <row r="410" spans="1:2">
      <c r="A410">
        <f t="shared" si="10"/>
        <v>399</v>
      </c>
      <c r="B410" t="s">
        <v>575</v>
      </c>
    </row>
    <row r="411" spans="1:2">
      <c r="A411">
        <f t="shared" si="10"/>
        <v>400</v>
      </c>
      <c r="B411" t="s">
        <v>576</v>
      </c>
    </row>
    <row r="412" spans="1:2">
      <c r="A412">
        <f t="shared" si="10"/>
        <v>401</v>
      </c>
      <c r="B412" t="s">
        <v>577</v>
      </c>
    </row>
    <row r="413" spans="1:2">
      <c r="A413">
        <f t="shared" si="10"/>
        <v>402</v>
      </c>
      <c r="B413" t="s">
        <v>578</v>
      </c>
    </row>
    <row r="414" spans="1:2">
      <c r="A414">
        <f t="shared" si="10"/>
        <v>403</v>
      </c>
      <c r="B414" t="s">
        <v>579</v>
      </c>
    </row>
    <row r="415" spans="1:2">
      <c r="A415">
        <f t="shared" si="10"/>
        <v>404</v>
      </c>
      <c r="B415" t="s">
        <v>580</v>
      </c>
    </row>
    <row r="416" spans="1:2">
      <c r="A416">
        <f t="shared" si="10"/>
        <v>405</v>
      </c>
      <c r="B416" t="s">
        <v>581</v>
      </c>
    </row>
    <row r="417" spans="1:2">
      <c r="A417">
        <f t="shared" si="10"/>
        <v>406</v>
      </c>
      <c r="B417" t="s">
        <v>582</v>
      </c>
    </row>
    <row r="418" spans="1:2">
      <c r="A418">
        <f t="shared" si="10"/>
        <v>407</v>
      </c>
      <c r="B418" t="s">
        <v>583</v>
      </c>
    </row>
    <row r="419" spans="1:2">
      <c r="A419">
        <f t="shared" si="10"/>
        <v>408</v>
      </c>
      <c r="B419" t="s">
        <v>584</v>
      </c>
    </row>
    <row r="420" spans="1:2">
      <c r="A420">
        <f t="shared" si="10"/>
        <v>409</v>
      </c>
      <c r="B420" t="s">
        <v>338</v>
      </c>
    </row>
    <row r="421" spans="1:2">
      <c r="A421">
        <f t="shared" si="10"/>
        <v>410</v>
      </c>
      <c r="B421" t="s">
        <v>585</v>
      </c>
    </row>
    <row r="422" spans="1:2">
      <c r="A422">
        <f t="shared" si="10"/>
        <v>411</v>
      </c>
      <c r="B422" t="s">
        <v>435</v>
      </c>
    </row>
    <row r="423" spans="1:2">
      <c r="A423">
        <f t="shared" si="10"/>
        <v>412</v>
      </c>
      <c r="B423" t="s">
        <v>224</v>
      </c>
    </row>
    <row r="424" spans="1:2">
      <c r="A424">
        <f t="shared" si="10"/>
        <v>413</v>
      </c>
      <c r="B424" t="s">
        <v>586</v>
      </c>
    </row>
    <row r="425" spans="1:2">
      <c r="A425">
        <f t="shared" si="10"/>
        <v>414</v>
      </c>
      <c r="B425" t="s">
        <v>587</v>
      </c>
    </row>
    <row r="426" spans="1:2">
      <c r="A426">
        <f t="shared" si="10"/>
        <v>415</v>
      </c>
      <c r="B426" t="s">
        <v>537</v>
      </c>
    </row>
    <row r="427" spans="1:2">
      <c r="A427">
        <f t="shared" si="10"/>
        <v>416</v>
      </c>
      <c r="B427" t="s">
        <v>588</v>
      </c>
    </row>
    <row r="428" spans="1:2">
      <c r="A428">
        <f t="shared" si="10"/>
        <v>417</v>
      </c>
      <c r="B428" t="s">
        <v>330</v>
      </c>
    </row>
    <row r="429" spans="1:2">
      <c r="A429">
        <f t="shared" si="10"/>
        <v>418</v>
      </c>
      <c r="B429" t="s">
        <v>406</v>
      </c>
    </row>
    <row r="430" spans="1:2">
      <c r="A430">
        <f t="shared" si="10"/>
        <v>419</v>
      </c>
      <c r="B430" t="s">
        <v>362</v>
      </c>
    </row>
    <row r="431" spans="1:2">
      <c r="A431">
        <f t="shared" si="10"/>
        <v>420</v>
      </c>
      <c r="B431" t="s">
        <v>208</v>
      </c>
    </row>
    <row r="432" spans="1:2">
      <c r="A432">
        <f t="shared" si="10"/>
        <v>421</v>
      </c>
      <c r="B432" t="s">
        <v>465</v>
      </c>
    </row>
    <row r="433" spans="1:2">
      <c r="A433">
        <f t="shared" si="10"/>
        <v>422</v>
      </c>
      <c r="B433" t="s">
        <v>589</v>
      </c>
    </row>
    <row r="434" spans="1:2">
      <c r="A434">
        <f t="shared" si="10"/>
        <v>423</v>
      </c>
      <c r="B434" t="s">
        <v>536</v>
      </c>
    </row>
    <row r="435" spans="1:2">
      <c r="A435">
        <f t="shared" si="10"/>
        <v>424</v>
      </c>
      <c r="B435" t="s">
        <v>232</v>
      </c>
    </row>
    <row r="436" spans="1:2">
      <c r="A436">
        <f t="shared" si="10"/>
        <v>425</v>
      </c>
      <c r="B436" t="s">
        <v>590</v>
      </c>
    </row>
    <row r="437" spans="1:2">
      <c r="A437">
        <f t="shared" si="10"/>
        <v>426</v>
      </c>
      <c r="B437" t="s">
        <v>506</v>
      </c>
    </row>
    <row r="438" spans="1:2">
      <c r="A438">
        <f t="shared" si="10"/>
        <v>427</v>
      </c>
      <c r="B438" t="s">
        <v>591</v>
      </c>
    </row>
    <row r="439" spans="1:2">
      <c r="A439">
        <f t="shared" si="10"/>
        <v>428</v>
      </c>
      <c r="B439" t="s">
        <v>592</v>
      </c>
    </row>
    <row r="440" spans="1:2">
      <c r="A440">
        <f t="shared" si="10"/>
        <v>429</v>
      </c>
      <c r="B440" t="s">
        <v>593</v>
      </c>
    </row>
    <row r="441" spans="1:2">
      <c r="A441">
        <f t="shared" si="10"/>
        <v>430</v>
      </c>
      <c r="B441" t="s">
        <v>594</v>
      </c>
    </row>
    <row r="442" spans="1:2">
      <c r="A442">
        <f t="shared" si="10"/>
        <v>431</v>
      </c>
      <c r="B442" t="s">
        <v>584</v>
      </c>
    </row>
    <row r="443" spans="1:2">
      <c r="A443">
        <f t="shared" si="10"/>
        <v>432</v>
      </c>
      <c r="B443" t="s">
        <v>378</v>
      </c>
    </row>
    <row r="444" spans="1:2">
      <c r="A444">
        <f t="shared" si="10"/>
        <v>433</v>
      </c>
      <c r="B444" t="s">
        <v>595</v>
      </c>
    </row>
    <row r="445" spans="1:2">
      <c r="A445">
        <f t="shared" si="10"/>
        <v>434</v>
      </c>
      <c r="B445" t="s">
        <v>596</v>
      </c>
    </row>
    <row r="446" spans="1:2">
      <c r="A446">
        <f t="shared" si="10"/>
        <v>435</v>
      </c>
      <c r="B446" t="s">
        <v>584</v>
      </c>
    </row>
    <row r="447" spans="1:2">
      <c r="A447">
        <f t="shared" si="10"/>
        <v>436</v>
      </c>
      <c r="B447" t="s">
        <v>597</v>
      </c>
    </row>
    <row r="448" spans="1:2">
      <c r="A448">
        <f t="shared" si="10"/>
        <v>437</v>
      </c>
      <c r="B448" t="s">
        <v>352</v>
      </c>
    </row>
    <row r="449" spans="1:2">
      <c r="A449">
        <f t="shared" si="10"/>
        <v>438</v>
      </c>
      <c r="B449" t="s">
        <v>598</v>
      </c>
    </row>
    <row r="450" spans="1:2">
      <c r="A450">
        <f t="shared" si="10"/>
        <v>439</v>
      </c>
      <c r="B450" t="s">
        <v>485</v>
      </c>
    </row>
    <row r="451" spans="1:2">
      <c r="A451">
        <f t="shared" si="10"/>
        <v>440</v>
      </c>
      <c r="B451" t="s">
        <v>588</v>
      </c>
    </row>
    <row r="452" spans="1:2">
      <c r="A452">
        <f t="shared" si="10"/>
        <v>441</v>
      </c>
      <c r="B452" t="s">
        <v>599</v>
      </c>
    </row>
    <row r="453" spans="1:2">
      <c r="A453">
        <f t="shared" si="10"/>
        <v>442</v>
      </c>
      <c r="B453" t="s">
        <v>258</v>
      </c>
    </row>
    <row r="454" spans="1:2">
      <c r="A454">
        <f t="shared" si="10"/>
        <v>443</v>
      </c>
      <c r="B454" t="s">
        <v>358</v>
      </c>
    </row>
    <row r="455" spans="1:2">
      <c r="A455">
        <f t="shared" si="10"/>
        <v>444</v>
      </c>
      <c r="B455" t="s">
        <v>258</v>
      </c>
    </row>
    <row r="456" spans="1:2">
      <c r="A456">
        <f t="shared" si="10"/>
        <v>445</v>
      </c>
      <c r="B456" t="s">
        <v>600</v>
      </c>
    </row>
    <row r="457" spans="1:2">
      <c r="A457">
        <f t="shared" si="10"/>
        <v>446</v>
      </c>
      <c r="B457" t="s">
        <v>601</v>
      </c>
    </row>
    <row r="458" spans="1:2">
      <c r="A458">
        <f t="shared" si="10"/>
        <v>447</v>
      </c>
      <c r="B458" t="s">
        <v>474</v>
      </c>
    </row>
    <row r="459" spans="1:2">
      <c r="A459">
        <f t="shared" si="10"/>
        <v>448</v>
      </c>
      <c r="B459" t="s">
        <v>455</v>
      </c>
    </row>
    <row r="460" spans="1:2">
      <c r="A460">
        <f t="shared" ref="A460:A523" si="11">ROW()-11</f>
        <v>449</v>
      </c>
      <c r="B460" t="s">
        <v>584</v>
      </c>
    </row>
    <row r="461" spans="1:2">
      <c r="A461">
        <f t="shared" si="11"/>
        <v>450</v>
      </c>
      <c r="B461" t="s">
        <v>103</v>
      </c>
    </row>
    <row r="462" spans="1:2">
      <c r="A462">
        <f t="shared" si="11"/>
        <v>451</v>
      </c>
      <c r="B462" t="s">
        <v>414</v>
      </c>
    </row>
    <row r="463" spans="1:2">
      <c r="A463">
        <f t="shared" si="11"/>
        <v>452</v>
      </c>
      <c r="B463" t="s">
        <v>103</v>
      </c>
    </row>
    <row r="464" spans="1:2">
      <c r="A464">
        <f t="shared" si="11"/>
        <v>453</v>
      </c>
      <c r="B464" t="s">
        <v>602</v>
      </c>
    </row>
    <row r="465" spans="1:2">
      <c r="A465">
        <f t="shared" si="11"/>
        <v>454</v>
      </c>
      <c r="B465" t="s">
        <v>603</v>
      </c>
    </row>
    <row r="466" spans="1:2">
      <c r="A466">
        <f t="shared" si="11"/>
        <v>455</v>
      </c>
      <c r="B466" t="s">
        <v>604</v>
      </c>
    </row>
    <row r="467" spans="1:2">
      <c r="A467">
        <f t="shared" si="11"/>
        <v>456</v>
      </c>
      <c r="B467" t="s">
        <v>605</v>
      </c>
    </row>
    <row r="468" spans="1:2">
      <c r="A468">
        <f t="shared" si="11"/>
        <v>457</v>
      </c>
      <c r="B468" t="s">
        <v>325</v>
      </c>
    </row>
    <row r="469" spans="1:2">
      <c r="A469">
        <f t="shared" si="11"/>
        <v>458</v>
      </c>
      <c r="B469" t="s">
        <v>606</v>
      </c>
    </row>
    <row r="470" spans="1:2">
      <c r="A470">
        <f t="shared" si="11"/>
        <v>459</v>
      </c>
      <c r="B470" t="s">
        <v>607</v>
      </c>
    </row>
    <row r="471" spans="1:2">
      <c r="A471">
        <f t="shared" si="11"/>
        <v>460</v>
      </c>
      <c r="B471" t="s">
        <v>531</v>
      </c>
    </row>
    <row r="472" spans="1:2">
      <c r="A472">
        <f t="shared" si="11"/>
        <v>461</v>
      </c>
      <c r="B472" t="s">
        <v>608</v>
      </c>
    </row>
    <row r="473" spans="1:2">
      <c r="A473">
        <f t="shared" si="11"/>
        <v>462</v>
      </c>
      <c r="B473" t="s">
        <v>103</v>
      </c>
    </row>
    <row r="474" spans="1:2">
      <c r="A474">
        <f t="shared" si="11"/>
        <v>463</v>
      </c>
      <c r="B474" t="s">
        <v>505</v>
      </c>
    </row>
    <row r="475" spans="1:2">
      <c r="A475">
        <f t="shared" si="11"/>
        <v>464</v>
      </c>
      <c r="B475" t="s">
        <v>512</v>
      </c>
    </row>
    <row r="476" spans="1:2">
      <c r="A476">
        <f t="shared" si="11"/>
        <v>465</v>
      </c>
      <c r="B476" t="s">
        <v>609</v>
      </c>
    </row>
    <row r="477" spans="1:2">
      <c r="A477">
        <f t="shared" si="11"/>
        <v>466</v>
      </c>
      <c r="B477" t="s">
        <v>258</v>
      </c>
    </row>
    <row r="478" spans="1:2">
      <c r="A478">
        <f t="shared" si="11"/>
        <v>467</v>
      </c>
      <c r="B478" t="s">
        <v>610</v>
      </c>
    </row>
    <row r="479" spans="1:2">
      <c r="A479">
        <f t="shared" si="11"/>
        <v>468</v>
      </c>
      <c r="B479" t="s">
        <v>611</v>
      </c>
    </row>
    <row r="480" spans="1:2">
      <c r="A480">
        <f t="shared" si="11"/>
        <v>469</v>
      </c>
      <c r="B480" t="s">
        <v>435</v>
      </c>
    </row>
    <row r="481" spans="1:2">
      <c r="A481">
        <f t="shared" si="11"/>
        <v>470</v>
      </c>
      <c r="B481" t="s">
        <v>612</v>
      </c>
    </row>
    <row r="482" spans="1:2">
      <c r="A482">
        <f t="shared" si="11"/>
        <v>471</v>
      </c>
      <c r="B482" t="s">
        <v>435</v>
      </c>
    </row>
    <row r="483" spans="1:2">
      <c r="A483">
        <f t="shared" si="11"/>
        <v>472</v>
      </c>
      <c r="B483" t="s">
        <v>560</v>
      </c>
    </row>
    <row r="484" spans="1:2">
      <c r="A484">
        <f t="shared" si="11"/>
        <v>473</v>
      </c>
      <c r="B484" t="s">
        <v>613</v>
      </c>
    </row>
    <row r="485" spans="1:2">
      <c r="A485">
        <f t="shared" si="11"/>
        <v>474</v>
      </c>
      <c r="B485" t="s">
        <v>587</v>
      </c>
    </row>
    <row r="486" spans="1:2">
      <c r="A486">
        <f t="shared" si="11"/>
        <v>475</v>
      </c>
      <c r="B486" t="s">
        <v>435</v>
      </c>
    </row>
    <row r="487" spans="1:2">
      <c r="A487">
        <f t="shared" si="11"/>
        <v>476</v>
      </c>
      <c r="B487" t="s">
        <v>532</v>
      </c>
    </row>
    <row r="488" spans="1:2">
      <c r="A488">
        <f t="shared" si="11"/>
        <v>477</v>
      </c>
      <c r="B488" t="s">
        <v>614</v>
      </c>
    </row>
    <row r="489" spans="1:2">
      <c r="A489">
        <f t="shared" si="11"/>
        <v>478</v>
      </c>
      <c r="B489" t="s">
        <v>615</v>
      </c>
    </row>
    <row r="490" spans="1:2">
      <c r="A490">
        <f t="shared" si="11"/>
        <v>479</v>
      </c>
      <c r="B490" t="s">
        <v>616</v>
      </c>
    </row>
    <row r="491" spans="1:2">
      <c r="A491">
        <f t="shared" si="11"/>
        <v>480</v>
      </c>
      <c r="B491" t="s">
        <v>405</v>
      </c>
    </row>
    <row r="492" spans="1:2">
      <c r="A492">
        <f t="shared" si="11"/>
        <v>481</v>
      </c>
      <c r="B492" t="s">
        <v>617</v>
      </c>
    </row>
    <row r="493" spans="1:2">
      <c r="A493">
        <f t="shared" si="11"/>
        <v>482</v>
      </c>
      <c r="B493" t="s">
        <v>103</v>
      </c>
    </row>
    <row r="494" spans="1:2">
      <c r="A494">
        <f t="shared" si="11"/>
        <v>483</v>
      </c>
      <c r="B494" t="s">
        <v>618</v>
      </c>
    </row>
    <row r="495" spans="1:2">
      <c r="A495">
        <f t="shared" si="11"/>
        <v>484</v>
      </c>
      <c r="B495" t="s">
        <v>619</v>
      </c>
    </row>
    <row r="496" spans="1:2">
      <c r="A496">
        <f t="shared" si="11"/>
        <v>485</v>
      </c>
      <c r="B496" t="s">
        <v>396</v>
      </c>
    </row>
    <row r="497" spans="1:2">
      <c r="A497">
        <f t="shared" si="11"/>
        <v>486</v>
      </c>
      <c r="B497" t="s">
        <v>224</v>
      </c>
    </row>
    <row r="498" spans="1:2">
      <c r="A498">
        <f t="shared" si="11"/>
        <v>487</v>
      </c>
      <c r="B498" t="s">
        <v>584</v>
      </c>
    </row>
    <row r="499" spans="1:2">
      <c r="A499">
        <f t="shared" si="11"/>
        <v>488</v>
      </c>
      <c r="B499" t="s">
        <v>620</v>
      </c>
    </row>
    <row r="500" spans="1:2">
      <c r="A500">
        <f t="shared" si="11"/>
        <v>489</v>
      </c>
      <c r="B500" t="s">
        <v>621</v>
      </c>
    </row>
    <row r="501" spans="1:2">
      <c r="A501">
        <f t="shared" si="11"/>
        <v>490</v>
      </c>
      <c r="B501" t="s">
        <v>622</v>
      </c>
    </row>
    <row r="502" spans="1:2">
      <c r="A502">
        <f t="shared" si="11"/>
        <v>491</v>
      </c>
      <c r="B502" t="s">
        <v>257</v>
      </c>
    </row>
    <row r="503" spans="1:2">
      <c r="A503">
        <f t="shared" si="11"/>
        <v>492</v>
      </c>
      <c r="B503" t="s">
        <v>623</v>
      </c>
    </row>
    <row r="504" spans="1:2">
      <c r="A504">
        <f t="shared" si="11"/>
        <v>493</v>
      </c>
      <c r="B504" t="s">
        <v>624</v>
      </c>
    </row>
    <row r="505" spans="1:2">
      <c r="A505">
        <f t="shared" si="11"/>
        <v>494</v>
      </c>
      <c r="B505" t="s">
        <v>625</v>
      </c>
    </row>
    <row r="506" spans="1:2">
      <c r="A506">
        <f t="shared" si="11"/>
        <v>495</v>
      </c>
      <c r="B506" t="s">
        <v>584</v>
      </c>
    </row>
    <row r="507" spans="1:2">
      <c r="A507">
        <f t="shared" si="11"/>
        <v>496</v>
      </c>
      <c r="B507" t="s">
        <v>626</v>
      </c>
    </row>
    <row r="508" spans="1:2">
      <c r="A508">
        <f t="shared" si="11"/>
        <v>497</v>
      </c>
      <c r="B508" t="s">
        <v>627</v>
      </c>
    </row>
    <row r="509" spans="1:2">
      <c r="A509">
        <f t="shared" si="11"/>
        <v>498</v>
      </c>
      <c r="B509" t="s">
        <v>628</v>
      </c>
    </row>
    <row r="510" spans="1:2">
      <c r="A510">
        <f t="shared" si="11"/>
        <v>499</v>
      </c>
      <c r="B510" t="s">
        <v>629</v>
      </c>
    </row>
    <row r="511" spans="1:2">
      <c r="A511">
        <f t="shared" si="11"/>
        <v>500</v>
      </c>
      <c r="B511" t="s">
        <v>404</v>
      </c>
    </row>
    <row r="512" spans="1:2">
      <c r="A512">
        <f t="shared" si="11"/>
        <v>501</v>
      </c>
      <c r="B512" t="s">
        <v>478</v>
      </c>
    </row>
    <row r="513" spans="1:2">
      <c r="A513">
        <f t="shared" si="11"/>
        <v>502</v>
      </c>
      <c r="B513" t="s">
        <v>630</v>
      </c>
    </row>
    <row r="514" spans="1:2">
      <c r="A514">
        <f t="shared" si="11"/>
        <v>503</v>
      </c>
      <c r="B514" t="s">
        <v>404</v>
      </c>
    </row>
    <row r="515" spans="1:2">
      <c r="A515">
        <f t="shared" si="11"/>
        <v>504</v>
      </c>
      <c r="B515" t="s">
        <v>304</v>
      </c>
    </row>
    <row r="516" spans="1:2">
      <c r="A516">
        <f t="shared" si="11"/>
        <v>505</v>
      </c>
      <c r="B516" t="s">
        <v>631</v>
      </c>
    </row>
    <row r="517" spans="1:2">
      <c r="A517">
        <f t="shared" si="11"/>
        <v>506</v>
      </c>
      <c r="B517" t="s">
        <v>632</v>
      </c>
    </row>
    <row r="518" spans="1:2">
      <c r="A518">
        <f t="shared" si="11"/>
        <v>507</v>
      </c>
      <c r="B518" t="s">
        <v>633</v>
      </c>
    </row>
    <row r="519" spans="1:2">
      <c r="A519">
        <f t="shared" si="11"/>
        <v>508</v>
      </c>
      <c r="B519" t="s">
        <v>634</v>
      </c>
    </row>
    <row r="520" spans="1:2">
      <c r="A520">
        <f t="shared" si="11"/>
        <v>509</v>
      </c>
      <c r="B520" t="s">
        <v>635</v>
      </c>
    </row>
    <row r="521" spans="1:2">
      <c r="A521">
        <f t="shared" si="11"/>
        <v>510</v>
      </c>
      <c r="B521" t="s">
        <v>636</v>
      </c>
    </row>
    <row r="522" spans="1:2">
      <c r="A522">
        <f t="shared" si="11"/>
        <v>511</v>
      </c>
      <c r="B522" t="s">
        <v>637</v>
      </c>
    </row>
    <row r="523" spans="1:2">
      <c r="A523">
        <f t="shared" si="11"/>
        <v>512</v>
      </c>
      <c r="B523" t="s">
        <v>638</v>
      </c>
    </row>
    <row r="524" spans="1:2">
      <c r="A524">
        <f t="shared" ref="A524:A575" si="12">ROW()-11</f>
        <v>513</v>
      </c>
      <c r="B524" t="s">
        <v>394</v>
      </c>
    </row>
    <row r="525" spans="1:2">
      <c r="A525">
        <f t="shared" si="12"/>
        <v>514</v>
      </c>
      <c r="B525" t="s">
        <v>349</v>
      </c>
    </row>
    <row r="526" spans="1:2">
      <c r="A526">
        <f t="shared" si="12"/>
        <v>515</v>
      </c>
      <c r="B526" t="s">
        <v>639</v>
      </c>
    </row>
    <row r="527" spans="1:2">
      <c r="A527">
        <f t="shared" si="12"/>
        <v>516</v>
      </c>
      <c r="B527" t="s">
        <v>640</v>
      </c>
    </row>
    <row r="528" spans="1:2">
      <c r="A528">
        <f t="shared" si="12"/>
        <v>517</v>
      </c>
      <c r="B528" t="s">
        <v>536</v>
      </c>
    </row>
    <row r="529" spans="1:2">
      <c r="A529">
        <f t="shared" si="12"/>
        <v>518</v>
      </c>
      <c r="B529" t="s">
        <v>320</v>
      </c>
    </row>
    <row r="530" spans="1:2">
      <c r="A530">
        <f t="shared" si="12"/>
        <v>519</v>
      </c>
      <c r="B530" t="s">
        <v>641</v>
      </c>
    </row>
    <row r="531" spans="1:2">
      <c r="A531">
        <f t="shared" si="12"/>
        <v>520</v>
      </c>
      <c r="B531" t="s">
        <v>642</v>
      </c>
    </row>
    <row r="532" spans="1:2">
      <c r="A532">
        <f t="shared" si="12"/>
        <v>521</v>
      </c>
      <c r="B532" t="s">
        <v>643</v>
      </c>
    </row>
    <row r="533" spans="1:2">
      <c r="A533">
        <f t="shared" si="12"/>
        <v>522</v>
      </c>
      <c r="B533" t="s">
        <v>644</v>
      </c>
    </row>
    <row r="534" spans="1:2">
      <c r="A534">
        <f t="shared" si="12"/>
        <v>523</v>
      </c>
      <c r="B534" t="s">
        <v>645</v>
      </c>
    </row>
    <row r="535" spans="1:2">
      <c r="A535">
        <f t="shared" si="12"/>
        <v>524</v>
      </c>
      <c r="B535" t="s">
        <v>646</v>
      </c>
    </row>
    <row r="536" spans="1:2">
      <c r="A536">
        <f t="shared" si="12"/>
        <v>525</v>
      </c>
      <c r="B536" t="s">
        <v>378</v>
      </c>
    </row>
    <row r="537" spans="1:2">
      <c r="A537">
        <f t="shared" si="12"/>
        <v>526</v>
      </c>
      <c r="B537" t="s">
        <v>647</v>
      </c>
    </row>
    <row r="538" spans="1:2">
      <c r="A538">
        <f t="shared" si="12"/>
        <v>527</v>
      </c>
      <c r="B538" t="s">
        <v>648</v>
      </c>
    </row>
    <row r="539" spans="1:2">
      <c r="A539">
        <f t="shared" si="12"/>
        <v>528</v>
      </c>
      <c r="B539" t="s">
        <v>649</v>
      </c>
    </row>
    <row r="540" spans="1:2">
      <c r="A540">
        <f t="shared" si="12"/>
        <v>529</v>
      </c>
      <c r="B540" t="s">
        <v>650</v>
      </c>
    </row>
    <row r="541" spans="1:2">
      <c r="A541">
        <f t="shared" si="12"/>
        <v>530</v>
      </c>
      <c r="B541" t="s">
        <v>651</v>
      </c>
    </row>
    <row r="542" spans="1:2">
      <c r="A542">
        <f t="shared" si="12"/>
        <v>531</v>
      </c>
      <c r="B542" t="s">
        <v>652</v>
      </c>
    </row>
    <row r="543" spans="1:2">
      <c r="A543">
        <f t="shared" si="12"/>
        <v>532</v>
      </c>
      <c r="B543" t="s">
        <v>653</v>
      </c>
    </row>
    <row r="544" spans="1:2">
      <c r="A544">
        <f t="shared" si="12"/>
        <v>533</v>
      </c>
      <c r="B544" t="s">
        <v>654</v>
      </c>
    </row>
    <row r="545" spans="1:2">
      <c r="A545">
        <f t="shared" si="12"/>
        <v>534</v>
      </c>
      <c r="B545" t="s">
        <v>655</v>
      </c>
    </row>
    <row r="546" spans="1:2">
      <c r="A546">
        <f t="shared" si="12"/>
        <v>535</v>
      </c>
      <c r="B546" t="s">
        <v>656</v>
      </c>
    </row>
    <row r="547" spans="1:2">
      <c r="A547">
        <f t="shared" si="12"/>
        <v>536</v>
      </c>
      <c r="B547" t="s">
        <v>657</v>
      </c>
    </row>
    <row r="548" spans="1:2">
      <c r="A548">
        <f t="shared" si="12"/>
        <v>537</v>
      </c>
      <c r="B548" t="s">
        <v>304</v>
      </c>
    </row>
    <row r="549" spans="1:2">
      <c r="A549">
        <f t="shared" si="12"/>
        <v>538</v>
      </c>
      <c r="B549" t="s">
        <v>611</v>
      </c>
    </row>
    <row r="550" spans="1:2">
      <c r="A550">
        <f t="shared" si="12"/>
        <v>539</v>
      </c>
      <c r="B550" t="s">
        <v>363</v>
      </c>
    </row>
    <row r="551" spans="1:2">
      <c r="A551">
        <f t="shared" si="12"/>
        <v>540</v>
      </c>
      <c r="B551" t="s">
        <v>611</v>
      </c>
    </row>
    <row r="552" spans="1:2">
      <c r="A552">
        <f t="shared" si="12"/>
        <v>541</v>
      </c>
      <c r="B552" t="s">
        <v>536</v>
      </c>
    </row>
    <row r="553" spans="1:2">
      <c r="A553">
        <f t="shared" si="12"/>
        <v>542</v>
      </c>
      <c r="B553" t="s">
        <v>642</v>
      </c>
    </row>
    <row r="554" spans="1:2">
      <c r="A554">
        <f t="shared" si="12"/>
        <v>543</v>
      </c>
      <c r="B554" t="s">
        <v>620</v>
      </c>
    </row>
    <row r="555" spans="1:2">
      <c r="A555">
        <f t="shared" si="12"/>
        <v>544</v>
      </c>
      <c r="B555" t="s">
        <v>642</v>
      </c>
    </row>
    <row r="556" spans="1:2">
      <c r="A556">
        <f t="shared" si="12"/>
        <v>545</v>
      </c>
      <c r="B556" t="s">
        <v>658</v>
      </c>
    </row>
    <row r="557" spans="1:2">
      <c r="A557">
        <f t="shared" si="12"/>
        <v>546</v>
      </c>
      <c r="B557" t="s">
        <v>659</v>
      </c>
    </row>
    <row r="558" spans="1:2">
      <c r="A558">
        <f t="shared" si="12"/>
        <v>547</v>
      </c>
      <c r="B558" t="s">
        <v>660</v>
      </c>
    </row>
    <row r="559" spans="1:2">
      <c r="A559">
        <f t="shared" si="12"/>
        <v>548</v>
      </c>
      <c r="B559" t="s">
        <v>661</v>
      </c>
    </row>
    <row r="560" spans="1:2">
      <c r="A560">
        <f t="shared" si="12"/>
        <v>549</v>
      </c>
      <c r="B560" t="s">
        <v>662</v>
      </c>
    </row>
    <row r="561" spans="1:2">
      <c r="A561">
        <f t="shared" si="12"/>
        <v>550</v>
      </c>
      <c r="B561" t="s">
        <v>663</v>
      </c>
    </row>
    <row r="562" spans="1:2">
      <c r="A562">
        <f t="shared" si="12"/>
        <v>551</v>
      </c>
      <c r="B562" t="s">
        <v>641</v>
      </c>
    </row>
    <row r="563" spans="1:2">
      <c r="A563">
        <f t="shared" si="12"/>
        <v>552</v>
      </c>
      <c r="B563" t="s">
        <v>416</v>
      </c>
    </row>
    <row r="564" spans="1:2">
      <c r="A564">
        <f t="shared" si="12"/>
        <v>553</v>
      </c>
      <c r="B564" t="s">
        <v>664</v>
      </c>
    </row>
    <row r="565" spans="1:2">
      <c r="A565">
        <f t="shared" si="12"/>
        <v>554</v>
      </c>
      <c r="B565" t="s">
        <v>665</v>
      </c>
    </row>
    <row r="566" spans="1:2">
      <c r="A566">
        <f t="shared" si="12"/>
        <v>555</v>
      </c>
      <c r="B566" t="s">
        <v>666</v>
      </c>
    </row>
    <row r="567" spans="1:2">
      <c r="A567">
        <f t="shared" si="12"/>
        <v>556</v>
      </c>
      <c r="B567" t="s">
        <v>667</v>
      </c>
    </row>
    <row r="568" spans="1:2">
      <c r="A568">
        <f t="shared" si="12"/>
        <v>557</v>
      </c>
      <c r="B568" t="s">
        <v>668</v>
      </c>
    </row>
    <row r="569" spans="1:2">
      <c r="A569">
        <f t="shared" si="12"/>
        <v>558</v>
      </c>
      <c r="B569" t="s">
        <v>669</v>
      </c>
    </row>
    <row r="570" spans="1:2">
      <c r="A570">
        <f t="shared" si="12"/>
        <v>559</v>
      </c>
      <c r="B570" t="s">
        <v>588</v>
      </c>
    </row>
    <row r="571" spans="1:2">
      <c r="A571">
        <f t="shared" si="12"/>
        <v>560</v>
      </c>
      <c r="B571" t="s">
        <v>670</v>
      </c>
    </row>
    <row r="572" spans="1:2">
      <c r="A572">
        <f t="shared" si="12"/>
        <v>561</v>
      </c>
      <c r="B572" t="s">
        <v>671</v>
      </c>
    </row>
    <row r="573" spans="1:2">
      <c r="A573">
        <f t="shared" si="12"/>
        <v>562</v>
      </c>
      <c r="B573" t="s">
        <v>672</v>
      </c>
    </row>
    <row r="574" spans="1:2">
      <c r="A574">
        <f t="shared" si="12"/>
        <v>563</v>
      </c>
      <c r="B574" t="s">
        <v>673</v>
      </c>
    </row>
    <row r="575" spans="1:2">
      <c r="A575">
        <f t="shared" si="12"/>
        <v>564</v>
      </c>
      <c r="B575" t="s">
        <v>674</v>
      </c>
    </row>
  </sheetData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H28"/>
  <sheetViews>
    <sheetView workbookViewId="0">
      <selection activeCell="A1" sqref="A1"/>
    </sheetView>
  </sheetViews>
  <sheetFormatPr defaultColWidth="9" defaultRowHeight="13.5" outlineLevelCol="7"/>
  <sheetData>
    <row r="1" spans="5:8">
      <c r="E1" t="s">
        <v>675</v>
      </c>
      <c r="F1" t="s">
        <v>676</v>
      </c>
      <c r="G1">
        <v>2</v>
      </c>
      <c r="H1">
        <v>0</v>
      </c>
    </row>
    <row r="2" spans="5:8">
      <c r="E2" t="s">
        <v>1</v>
      </c>
      <c r="F2" t="s">
        <v>677</v>
      </c>
      <c r="G2">
        <v>2</v>
      </c>
      <c r="H2">
        <v>0</v>
      </c>
    </row>
    <row r="3" spans="5:8">
      <c r="E3" t="s">
        <v>678</v>
      </c>
      <c r="F3" t="s">
        <v>679</v>
      </c>
      <c r="G3">
        <v>2</v>
      </c>
      <c r="H3">
        <v>0</v>
      </c>
    </row>
    <row r="4" spans="5:8">
      <c r="E4" t="s">
        <v>680</v>
      </c>
      <c r="F4" t="s">
        <v>681</v>
      </c>
      <c r="G4">
        <v>2</v>
      </c>
      <c r="H4">
        <v>0</v>
      </c>
    </row>
    <row r="5" spans="5:8">
      <c r="E5" t="s">
        <v>682</v>
      </c>
      <c r="F5" t="s">
        <v>683</v>
      </c>
      <c r="G5">
        <v>2</v>
      </c>
      <c r="H5">
        <v>0</v>
      </c>
    </row>
    <row r="6" spans="5:8">
      <c r="E6" t="s">
        <v>684</v>
      </c>
      <c r="F6" t="s">
        <v>685</v>
      </c>
      <c r="G6">
        <v>2</v>
      </c>
      <c r="H6">
        <v>0</v>
      </c>
    </row>
    <row r="7" spans="1:8">
      <c r="A7" t="s">
        <v>686</v>
      </c>
      <c r="B7" t="s">
        <v>687</v>
      </c>
      <c r="E7" t="s">
        <v>688</v>
      </c>
      <c r="F7" t="s">
        <v>689</v>
      </c>
      <c r="G7">
        <v>2</v>
      </c>
      <c r="H7">
        <v>0</v>
      </c>
    </row>
    <row r="8" spans="1:8">
      <c r="A8" t="s">
        <v>690</v>
      </c>
      <c r="B8">
        <v>2</v>
      </c>
      <c r="E8" t="s">
        <v>691</v>
      </c>
      <c r="F8" t="s">
        <v>692</v>
      </c>
      <c r="G8">
        <v>2</v>
      </c>
      <c r="H8">
        <v>0</v>
      </c>
    </row>
    <row r="9" spans="5:8">
      <c r="E9" t="s">
        <v>693</v>
      </c>
      <c r="F9" t="s">
        <v>694</v>
      </c>
      <c r="G9">
        <v>2</v>
      </c>
      <c r="H9">
        <v>0</v>
      </c>
    </row>
    <row r="10" spans="1:8">
      <c r="A10" t="s">
        <v>695</v>
      </c>
      <c r="B10">
        <v>2</v>
      </c>
      <c r="E10" t="s">
        <v>696</v>
      </c>
      <c r="F10" t="s">
        <v>697</v>
      </c>
      <c r="G10">
        <v>2</v>
      </c>
      <c r="H10">
        <v>0</v>
      </c>
    </row>
    <row r="11" spans="1:8">
      <c r="A11" t="s">
        <v>698</v>
      </c>
      <c r="B11">
        <v>16</v>
      </c>
      <c r="C11" t="s">
        <v>699</v>
      </c>
      <c r="D11">
        <v>1</v>
      </c>
      <c r="E11" t="s">
        <v>700</v>
      </c>
      <c r="F11" t="s">
        <v>701</v>
      </c>
      <c r="G11">
        <v>2</v>
      </c>
      <c r="H11">
        <v>0</v>
      </c>
    </row>
    <row r="12" spans="5:8">
      <c r="E12" t="s">
        <v>702</v>
      </c>
      <c r="F12" t="s">
        <v>703</v>
      </c>
      <c r="G12">
        <v>2</v>
      </c>
      <c r="H12">
        <v>0</v>
      </c>
    </row>
    <row r="13" spans="1:8">
      <c r="A13" t="s">
        <v>704</v>
      </c>
      <c r="B13" t="s">
        <v>675</v>
      </c>
      <c r="E13" t="s">
        <v>705</v>
      </c>
      <c r="F13" t="s">
        <v>706</v>
      </c>
      <c r="G13">
        <v>2</v>
      </c>
      <c r="H13">
        <v>0</v>
      </c>
    </row>
    <row r="14" spans="1:8">
      <c r="A14" t="s">
        <v>707</v>
      </c>
      <c r="B14" t="s">
        <v>699</v>
      </c>
      <c r="E14" t="s">
        <v>708</v>
      </c>
      <c r="F14" t="s">
        <v>709</v>
      </c>
      <c r="G14">
        <v>2</v>
      </c>
      <c r="H14">
        <v>0</v>
      </c>
    </row>
    <row r="15" spans="1:8">
      <c r="A15" t="s">
        <v>710</v>
      </c>
      <c r="B15" t="s">
        <v>711</v>
      </c>
      <c r="E15" t="s">
        <v>712</v>
      </c>
      <c r="F15" t="s">
        <v>713</v>
      </c>
      <c r="G15">
        <v>2</v>
      </c>
      <c r="H15">
        <v>0</v>
      </c>
    </row>
    <row r="16" spans="1:8">
      <c r="A16" t="s">
        <v>714</v>
      </c>
      <c r="B16" t="s">
        <v>715</v>
      </c>
      <c r="E16" t="s">
        <v>699</v>
      </c>
      <c r="F16" t="s">
        <v>716</v>
      </c>
      <c r="G16">
        <v>2</v>
      </c>
      <c r="H16">
        <v>0</v>
      </c>
    </row>
    <row r="17" spans="1:2">
      <c r="A17" t="s">
        <v>717</v>
      </c>
      <c r="B17" t="s">
        <v>718</v>
      </c>
    </row>
    <row r="23" spans="1:2">
      <c r="A23" t="s">
        <v>719</v>
      </c>
      <c r="B23" t="b">
        <v>0</v>
      </c>
    </row>
    <row r="24" spans="1:2">
      <c r="A24" t="s">
        <v>720</v>
      </c>
      <c r="B24" t="s">
        <v>721</v>
      </c>
    </row>
    <row r="25" spans="1:2">
      <c r="A25" t="s">
        <v>722</v>
      </c>
      <c r="B25" t="s">
        <v>723</v>
      </c>
    </row>
    <row r="26" spans="1:2">
      <c r="A26" t="s">
        <v>724</v>
      </c>
      <c r="B26" t="s">
        <v>725</v>
      </c>
    </row>
    <row r="27" spans="1:2">
      <c r="A27" t="s">
        <v>726</v>
      </c>
      <c r="B27" t="s">
        <v>727</v>
      </c>
    </row>
    <row r="28" spans="1:2">
      <c r="A28" t="s">
        <v>728</v>
      </c>
      <c r="B28" t="b">
        <v>0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首屏</vt:lpstr>
      <vt:lpstr>工作表条件查询演示</vt:lpstr>
      <vt:lpstr>工作表条件查询制作</vt:lpstr>
      <vt:lpstr>数据备用</vt:lpstr>
      <vt:lpstr>百家姓</vt:lpstr>
      <vt:lpstr>KSO_Salary_Config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tutu</dc:creator>
  <cp:lastModifiedBy>小兔</cp:lastModifiedBy>
  <dcterms:created xsi:type="dcterms:W3CDTF">2020-01-01T06:58:00Z</dcterms:created>
  <dcterms:modified xsi:type="dcterms:W3CDTF">2020-01-05T16:32:19Z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